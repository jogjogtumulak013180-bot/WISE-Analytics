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80" yWindow="630" windowWidth="9810" windowHeight="10170" tabRatio="474" firstSheet="1" activeTab="1"/>
  </bookViews>
  <sheets>
    <sheet name="POW" sheetId="24" state="hidden" r:id="rId1"/>
    <sheet name="BOQ" sheetId="1" r:id="rId2"/>
    <sheet name="I.1" sheetId="4" r:id="rId3"/>
    <sheet name="I.2" sheetId="5" r:id="rId4"/>
    <sheet name="II.1" sheetId="7" r:id="rId5"/>
    <sheet name="II.2" sheetId="8" r:id="rId6"/>
    <sheet name="II.3" sheetId="9" r:id="rId7"/>
    <sheet name="II.4" sheetId="10" r:id="rId8"/>
    <sheet name="III." sheetId="12" r:id="rId9"/>
    <sheet name="IV.1" sheetId="13" r:id="rId10"/>
    <sheet name="IV.2" sheetId="14" r:id="rId11"/>
    <sheet name="IV.3" sheetId="15" r:id="rId12"/>
    <sheet name="V.1" sheetId="16" r:id="rId13"/>
    <sheet name="V.2" sheetId="23" r:id="rId14"/>
    <sheet name="VI." sheetId="17" r:id="rId15"/>
    <sheet name="VII.1" sheetId="18" r:id="rId16"/>
    <sheet name="VII.2" sheetId="19" r:id="rId17"/>
    <sheet name="VIII." sheetId="21" r:id="rId18"/>
    <sheet name="IX." sheetId="25" r:id="rId19"/>
    <sheet name="X." sheetId="26" r:id="rId20"/>
    <sheet name="XI." sheetId="27" r:id="rId2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7" i="1" l="1"/>
  <c r="G40" i="1"/>
  <c r="G39" i="1"/>
  <c r="G17" i="21"/>
  <c r="C7" i="27" l="1"/>
  <c r="C6" i="27"/>
  <c r="E142" i="1"/>
  <c r="D142" i="1"/>
  <c r="G35" i="27"/>
  <c r="G27" i="27"/>
  <c r="G19" i="27"/>
  <c r="G18" i="27"/>
  <c r="G17" i="27"/>
  <c r="G15" i="27"/>
  <c r="L47" i="13"/>
  <c r="N58" i="13"/>
  <c r="L58" i="13"/>
  <c r="E65" i="13"/>
  <c r="J65" i="13" s="1"/>
  <c r="E66" i="13"/>
  <c r="E67" i="13"/>
  <c r="J67" i="13" s="1"/>
  <c r="E64" i="13"/>
  <c r="E68" i="14"/>
  <c r="E69" i="14"/>
  <c r="E70" i="14"/>
  <c r="E71" i="14"/>
  <c r="E72" i="14"/>
  <c r="E67" i="14"/>
  <c r="E63" i="14"/>
  <c r="E64" i="14"/>
  <c r="E65" i="14"/>
  <c r="E62" i="14"/>
  <c r="D58" i="14"/>
  <c r="D60" i="13"/>
  <c r="G78" i="13"/>
  <c r="J78" i="13" s="1"/>
  <c r="F78" i="13"/>
  <c r="J77" i="13"/>
  <c r="H76" i="13"/>
  <c r="F76" i="13"/>
  <c r="J76" i="13" s="1"/>
  <c r="H74" i="13"/>
  <c r="J74" i="13" s="1"/>
  <c r="H73" i="13"/>
  <c r="J73" i="13" s="1"/>
  <c r="J72" i="13"/>
  <c r="J71" i="13"/>
  <c r="J70" i="13"/>
  <c r="J69" i="13"/>
  <c r="J66" i="13"/>
  <c r="J64" i="13"/>
  <c r="H61" i="13"/>
  <c r="J61" i="13" s="1"/>
  <c r="J60" i="13"/>
  <c r="J59" i="13"/>
  <c r="C58" i="13"/>
  <c r="B58" i="13"/>
  <c r="C7" i="26"/>
  <c r="C6" i="26"/>
  <c r="G35" i="26"/>
  <c r="G27" i="26"/>
  <c r="G19" i="26"/>
  <c r="G18" i="26"/>
  <c r="G17" i="26"/>
  <c r="G15" i="26"/>
  <c r="E101" i="1"/>
  <c r="D101" i="1"/>
  <c r="C7" i="25"/>
  <c r="C6" i="25"/>
  <c r="G18" i="25"/>
  <c r="G15" i="25"/>
  <c r="G27" i="25"/>
  <c r="G19" i="25"/>
  <c r="G17" i="25"/>
  <c r="I82" i="13" l="1"/>
  <c r="I83" i="13" s="1"/>
  <c r="I84" i="13" s="1"/>
  <c r="J58" i="13"/>
  <c r="G35" i="25"/>
  <c r="F54" i="19" l="1"/>
  <c r="F58" i="19"/>
  <c r="F18" i="19"/>
  <c r="G54" i="19"/>
  <c r="F56" i="17"/>
  <c r="J59" i="14"/>
  <c r="H59" i="14"/>
  <c r="E68" i="15"/>
  <c r="E67" i="15"/>
  <c r="E66" i="15"/>
  <c r="E65" i="15"/>
  <c r="E64" i="15"/>
  <c r="E63" i="15"/>
  <c r="E61" i="15"/>
  <c r="E60" i="15"/>
  <c r="E59" i="15"/>
  <c r="E58" i="15"/>
  <c r="E55" i="15"/>
  <c r="D55" i="15"/>
  <c r="G76" i="14"/>
  <c r="F76" i="14"/>
  <c r="F74" i="14"/>
  <c r="J75" i="14"/>
  <c r="J76" i="14"/>
  <c r="J54" i="10" l="1"/>
  <c r="G53" i="10"/>
  <c r="J53" i="10" s="1"/>
  <c r="J52" i="10" s="1"/>
  <c r="J53" i="9"/>
  <c r="J54" i="9"/>
  <c r="G52" i="9"/>
  <c r="I46" i="8"/>
  <c r="F33" i="8"/>
  <c r="F56" i="8"/>
  <c r="F54" i="8"/>
  <c r="N23" i="24" l="1"/>
  <c r="M12" i="24"/>
  <c r="M19" i="24"/>
  <c r="M23" i="24"/>
  <c r="M28" i="24"/>
  <c r="L12" i="24"/>
  <c r="N12" i="24" s="1"/>
  <c r="L19" i="24"/>
  <c r="N19" i="24" s="1"/>
  <c r="L23" i="24"/>
  <c r="L28" i="24"/>
  <c r="N28" i="24" s="1"/>
  <c r="O28" i="24" s="1"/>
  <c r="K12" i="24"/>
  <c r="K19" i="24"/>
  <c r="O19" i="24" s="1"/>
  <c r="K23" i="24"/>
  <c r="O23" i="24" s="1"/>
  <c r="K28" i="24"/>
  <c r="J26" i="24"/>
  <c r="I26" i="24"/>
  <c r="H26" i="24"/>
  <c r="L26" i="24" s="1"/>
  <c r="J17" i="24"/>
  <c r="I17" i="24"/>
  <c r="H17" i="24"/>
  <c r="K17" i="24" s="1"/>
  <c r="G28" i="24"/>
  <c r="F26" i="24"/>
  <c r="E26" i="24"/>
  <c r="D26" i="24"/>
  <c r="G23" i="24"/>
  <c r="E20" i="24"/>
  <c r="D20" i="24"/>
  <c r="G20" i="24" s="1"/>
  <c r="G19" i="24"/>
  <c r="E18" i="24"/>
  <c r="D18" i="24"/>
  <c r="F17" i="24"/>
  <c r="E17" i="24"/>
  <c r="D17" i="24"/>
  <c r="E13" i="24"/>
  <c r="D13" i="24"/>
  <c r="G12" i="24"/>
  <c r="E11" i="24"/>
  <c r="D11" i="24"/>
  <c r="E10" i="24"/>
  <c r="D10" i="24"/>
  <c r="F29" i="13"/>
  <c r="F36" i="13"/>
  <c r="F37" i="13" s="1"/>
  <c r="G22" i="13"/>
  <c r="C9" i="13"/>
  <c r="C57" i="13" s="1"/>
  <c r="C8" i="13"/>
  <c r="B57" i="13" s="1"/>
  <c r="G35" i="13"/>
  <c r="F30" i="13"/>
  <c r="G30" i="13" s="1"/>
  <c r="G29" i="13"/>
  <c r="G28" i="13"/>
  <c r="G27" i="13"/>
  <c r="G21" i="13"/>
  <c r="C7" i="13"/>
  <c r="C6" i="13"/>
  <c r="G17" i="17"/>
  <c r="G19" i="17"/>
  <c r="G15" i="17"/>
  <c r="F18" i="17"/>
  <c r="G18" i="17" s="1"/>
  <c r="F17" i="17"/>
  <c r="F16" i="17"/>
  <c r="G16" i="17" s="1"/>
  <c r="F19" i="17"/>
  <c r="F23" i="17"/>
  <c r="G23" i="17" s="1"/>
  <c r="F20" i="17"/>
  <c r="G20" i="17" s="1"/>
  <c r="F21" i="17"/>
  <c r="G21" i="17" s="1"/>
  <c r="F22" i="17"/>
  <c r="G22" i="17" s="1"/>
  <c r="K26" i="24" l="1"/>
  <c r="O26" i="24"/>
  <c r="O12" i="24"/>
  <c r="N26" i="24"/>
  <c r="L17" i="24"/>
  <c r="N17" i="24"/>
  <c r="M17" i="24"/>
  <c r="O17" i="24"/>
  <c r="M26" i="24"/>
  <c r="G26" i="24"/>
  <c r="G17" i="24"/>
  <c r="G32" i="13"/>
  <c r="I20" i="24" s="1"/>
  <c r="G19" i="13"/>
  <c r="G17" i="13"/>
  <c r="G20" i="13"/>
  <c r="G18" i="13"/>
  <c r="G36" i="13"/>
  <c r="G37" i="13"/>
  <c r="E9" i="17"/>
  <c r="F57" i="17"/>
  <c r="J57" i="17" s="1"/>
  <c r="G56" i="17"/>
  <c r="C7" i="17"/>
  <c r="C55" i="17" s="1"/>
  <c r="C6" i="17"/>
  <c r="B55" i="17" s="1"/>
  <c r="F36" i="17"/>
  <c r="G36" i="17" s="1"/>
  <c r="F35" i="17"/>
  <c r="G35" i="17" s="1"/>
  <c r="G34" i="17"/>
  <c r="G29" i="17"/>
  <c r="G28" i="17"/>
  <c r="E18" i="1"/>
  <c r="D18" i="1"/>
  <c r="E18" i="5"/>
  <c r="D18" i="5"/>
  <c r="G18" i="5" s="1"/>
  <c r="G21" i="5" s="1"/>
  <c r="H11" i="24" s="1"/>
  <c r="C9" i="5"/>
  <c r="C8" i="5"/>
  <c r="G18" i="4"/>
  <c r="G21" i="4" s="1"/>
  <c r="H10" i="24" s="1"/>
  <c r="E18" i="4"/>
  <c r="C9" i="4"/>
  <c r="C8" i="4"/>
  <c r="C7" i="4"/>
  <c r="C6" i="4"/>
  <c r="G27" i="4"/>
  <c r="I10" i="24" s="1"/>
  <c r="G24" i="4"/>
  <c r="G27" i="5"/>
  <c r="I11" i="24" s="1"/>
  <c r="C7" i="5"/>
  <c r="C6" i="5"/>
  <c r="F25" i="7"/>
  <c r="G25" i="7" s="1"/>
  <c r="G27" i="7" s="1"/>
  <c r="I13" i="24" s="1"/>
  <c r="G24" i="7"/>
  <c r="C9" i="7"/>
  <c r="C8" i="7"/>
  <c r="C7" i="7"/>
  <c r="C6" i="7"/>
  <c r="G21" i="7"/>
  <c r="H13" i="24" s="1"/>
  <c r="E42" i="1"/>
  <c r="E16" i="12"/>
  <c r="D16" i="12"/>
  <c r="G16" i="12" s="1"/>
  <c r="C7" i="12"/>
  <c r="C6" i="12"/>
  <c r="G24" i="12"/>
  <c r="I18" i="24" s="1"/>
  <c r="G19" i="19"/>
  <c r="G21" i="19"/>
  <c r="J54" i="19"/>
  <c r="F57" i="19"/>
  <c r="J57" i="19" s="1"/>
  <c r="D18" i="19" s="1"/>
  <c r="G18" i="19" s="1"/>
  <c r="F56" i="19"/>
  <c r="J56" i="19" s="1"/>
  <c r="D17" i="19" s="1"/>
  <c r="G17" i="19" s="1"/>
  <c r="J58" i="19"/>
  <c r="D20" i="19" s="1"/>
  <c r="G20" i="19" s="1"/>
  <c r="C9" i="19"/>
  <c r="C54" i="19" s="1"/>
  <c r="C8" i="19"/>
  <c r="B54" i="19" s="1"/>
  <c r="F34" i="19"/>
  <c r="G34" i="19" s="1"/>
  <c r="F33" i="19"/>
  <c r="G33" i="19" s="1"/>
  <c r="G32" i="19"/>
  <c r="G27" i="19"/>
  <c r="G26" i="19"/>
  <c r="E11" i="19"/>
  <c r="E30" i="24" s="1"/>
  <c r="C7" i="19"/>
  <c r="C53" i="19" s="1"/>
  <c r="C6" i="19"/>
  <c r="B53" i="19" s="1"/>
  <c r="G25" i="18"/>
  <c r="F26" i="18"/>
  <c r="G26" i="18" s="1"/>
  <c r="F17" i="18"/>
  <c r="F18" i="18"/>
  <c r="G20" i="18"/>
  <c r="J76" i="18"/>
  <c r="J77" i="18"/>
  <c r="G19" i="18"/>
  <c r="E11" i="18"/>
  <c r="E29" i="24" s="1"/>
  <c r="J72" i="18"/>
  <c r="J71" i="18"/>
  <c r="J70" i="18"/>
  <c r="J69" i="18"/>
  <c r="J68" i="18"/>
  <c r="J67" i="18"/>
  <c r="J66" i="18"/>
  <c r="J63" i="18"/>
  <c r="J58" i="18"/>
  <c r="J59" i="18"/>
  <c r="J60" i="18"/>
  <c r="J61" i="18"/>
  <c r="J62" i="18"/>
  <c r="J57" i="18"/>
  <c r="C9" i="18"/>
  <c r="C55" i="18" s="1"/>
  <c r="C8" i="18"/>
  <c r="B55" i="18" s="1"/>
  <c r="C7" i="18"/>
  <c r="C54" i="18" s="1"/>
  <c r="C6" i="18"/>
  <c r="B54" i="18" s="1"/>
  <c r="G28" i="18"/>
  <c r="H74" i="14"/>
  <c r="J74" i="14"/>
  <c r="G44" i="1"/>
  <c r="E31" i="24"/>
  <c r="F71" i="21"/>
  <c r="J71" i="21" s="1"/>
  <c r="J70" i="21"/>
  <c r="J69" i="21"/>
  <c r="H67" i="21"/>
  <c r="J67" i="21" s="1"/>
  <c r="H66" i="21"/>
  <c r="J66" i="21" s="1"/>
  <c r="J65" i="21"/>
  <c r="J64" i="21"/>
  <c r="J63" i="21"/>
  <c r="J62" i="21"/>
  <c r="J60" i="21"/>
  <c r="J59" i="21"/>
  <c r="J58" i="21"/>
  <c r="J57" i="21"/>
  <c r="J54" i="21"/>
  <c r="C7" i="21"/>
  <c r="C52" i="21" s="1"/>
  <c r="C6" i="21"/>
  <c r="B52" i="21" s="1"/>
  <c r="C9" i="15"/>
  <c r="C53" i="15" s="1"/>
  <c r="C8" i="15"/>
  <c r="B53" i="15" s="1"/>
  <c r="H68" i="15"/>
  <c r="J68" i="15" s="1"/>
  <c r="H67" i="15"/>
  <c r="J67" i="15" s="1"/>
  <c r="J66" i="15"/>
  <c r="J65" i="15"/>
  <c r="J64" i="15"/>
  <c r="J63" i="15"/>
  <c r="J61" i="15"/>
  <c r="J60" i="15"/>
  <c r="J59" i="15"/>
  <c r="J58" i="15"/>
  <c r="J55" i="15"/>
  <c r="G26" i="15"/>
  <c r="G25" i="15"/>
  <c r="G20" i="15"/>
  <c r="E11" i="15"/>
  <c r="C7" i="15"/>
  <c r="C52" i="15" s="1"/>
  <c r="C6" i="15"/>
  <c r="B52" i="15" s="1"/>
  <c r="E71" i="1"/>
  <c r="G29" i="23"/>
  <c r="F60" i="23"/>
  <c r="J60" i="23" s="1"/>
  <c r="J59" i="23" s="1"/>
  <c r="J62" i="23" s="1"/>
  <c r="J58" i="23"/>
  <c r="F57" i="23"/>
  <c r="J57" i="23" s="1"/>
  <c r="J56" i="23" s="1"/>
  <c r="G28" i="23"/>
  <c r="G23" i="23"/>
  <c r="E11" i="23"/>
  <c r="E25" i="24" s="1"/>
  <c r="C9" i="23"/>
  <c r="C56" i="23" s="1"/>
  <c r="C8" i="23"/>
  <c r="B56" i="23" s="1"/>
  <c r="C7" i="23"/>
  <c r="C55" i="23" s="1"/>
  <c r="C6" i="23"/>
  <c r="B55" i="23" s="1"/>
  <c r="J59" i="16"/>
  <c r="J61" i="16"/>
  <c r="J62" i="16"/>
  <c r="F63" i="16"/>
  <c r="J63" i="16" s="1"/>
  <c r="F58" i="16"/>
  <c r="J58" i="16" s="1"/>
  <c r="J56" i="16"/>
  <c r="C9" i="16"/>
  <c r="C55" i="16" s="1"/>
  <c r="C8" i="16"/>
  <c r="B55" i="16" s="1"/>
  <c r="C7" i="16"/>
  <c r="C54" i="16" s="1"/>
  <c r="C6" i="16"/>
  <c r="B54" i="16" s="1"/>
  <c r="J57" i="16"/>
  <c r="G28" i="16"/>
  <c r="G27" i="16"/>
  <c r="G22" i="16"/>
  <c r="E11" i="16"/>
  <c r="G21" i="14"/>
  <c r="J69" i="14"/>
  <c r="J70" i="14"/>
  <c r="H72" i="14"/>
  <c r="J72" i="14" s="1"/>
  <c r="H71" i="14"/>
  <c r="J71" i="14" s="1"/>
  <c r="J64" i="14"/>
  <c r="J65" i="14"/>
  <c r="J62" i="14"/>
  <c r="J67" i="14"/>
  <c r="J68" i="14"/>
  <c r="J63" i="14"/>
  <c r="J58" i="14"/>
  <c r="J57" i="14"/>
  <c r="E11" i="14"/>
  <c r="C11" i="10"/>
  <c r="F31" i="10" s="1"/>
  <c r="F24" i="10" s="1"/>
  <c r="F27" i="8"/>
  <c r="G27" i="8" s="1"/>
  <c r="F25" i="8"/>
  <c r="F26" i="8"/>
  <c r="G26" i="8" s="1"/>
  <c r="G21" i="10"/>
  <c r="H16" i="24" s="1"/>
  <c r="E11" i="10"/>
  <c r="J52" i="9"/>
  <c r="G21" i="9"/>
  <c r="H15" i="24" s="1"/>
  <c r="E11" i="9"/>
  <c r="E11" i="8"/>
  <c r="E14" i="24" s="1"/>
  <c r="J55" i="8"/>
  <c r="J56" i="8"/>
  <c r="J54" i="8"/>
  <c r="E37" i="1" l="1"/>
  <c r="E15" i="24"/>
  <c r="E46" i="1"/>
  <c r="E22" i="24"/>
  <c r="E27" i="24"/>
  <c r="E74" i="1"/>
  <c r="E45" i="1"/>
  <c r="E21" i="24"/>
  <c r="E70" i="1"/>
  <c r="E24" i="24"/>
  <c r="E88" i="1"/>
  <c r="J56" i="14"/>
  <c r="C11" i="14" s="1"/>
  <c r="F30" i="7"/>
  <c r="G30" i="7" s="1"/>
  <c r="G32" i="7" s="1"/>
  <c r="E38" i="1"/>
  <c r="E16" i="24"/>
  <c r="F26" i="10"/>
  <c r="G26" i="10" s="1"/>
  <c r="D16" i="24"/>
  <c r="G18" i="1"/>
  <c r="G40" i="13"/>
  <c r="J20" i="24" s="1"/>
  <c r="G24" i="13"/>
  <c r="G31" i="17"/>
  <c r="I27" i="24" s="1"/>
  <c r="J56" i="17"/>
  <c r="J55" i="17" s="1"/>
  <c r="C9" i="17" s="1"/>
  <c r="G25" i="17"/>
  <c r="H27" i="24" s="1"/>
  <c r="G39" i="17"/>
  <c r="J27" i="24" s="1"/>
  <c r="G32" i="4"/>
  <c r="G31" i="5"/>
  <c r="B16" i="12"/>
  <c r="G19" i="12"/>
  <c r="H18" i="24" s="1"/>
  <c r="G29" i="12"/>
  <c r="G37" i="19"/>
  <c r="J30" i="24" s="1"/>
  <c r="G23" i="19"/>
  <c r="H30" i="24" s="1"/>
  <c r="C11" i="19"/>
  <c r="G29" i="19"/>
  <c r="I30" i="24" s="1"/>
  <c r="F27" i="18"/>
  <c r="G27" i="18" s="1"/>
  <c r="J75" i="18"/>
  <c r="D18" i="18" s="1"/>
  <c r="G18" i="18" s="1"/>
  <c r="J65" i="18"/>
  <c r="J56" i="18"/>
  <c r="G30" i="18"/>
  <c r="I29" i="24" s="1"/>
  <c r="G22" i="21"/>
  <c r="H31" i="24" s="1"/>
  <c r="J53" i="21"/>
  <c r="G31" i="23"/>
  <c r="I25" i="24" s="1"/>
  <c r="J54" i="15"/>
  <c r="G28" i="15"/>
  <c r="I22" i="24" s="1"/>
  <c r="C11" i="23"/>
  <c r="D25" i="24" s="1"/>
  <c r="D17" i="23"/>
  <c r="J60" i="16"/>
  <c r="J65" i="16" s="1"/>
  <c r="J55" i="16"/>
  <c r="D17" i="16" s="1"/>
  <c r="G30" i="16"/>
  <c r="I24" i="24" s="1"/>
  <c r="F25" i="10"/>
  <c r="G25" i="10" s="1"/>
  <c r="J51" i="9"/>
  <c r="C11" i="9" s="1"/>
  <c r="J53" i="8"/>
  <c r="C11" i="8" s="1"/>
  <c r="G21" i="8"/>
  <c r="H14" i="24" s="1"/>
  <c r="H32" i="24" s="1"/>
  <c r="G32" i="8"/>
  <c r="G25" i="8"/>
  <c r="G24" i="8"/>
  <c r="C9" i="14"/>
  <c r="C56" i="14" s="1"/>
  <c r="C8" i="14"/>
  <c r="B56" i="14" s="1"/>
  <c r="C7" i="14"/>
  <c r="C55" i="14" s="1"/>
  <c r="C6" i="14"/>
  <c r="B55" i="14" s="1"/>
  <c r="C9" i="10"/>
  <c r="C52" i="10" s="1"/>
  <c r="C8" i="10"/>
  <c r="B52" i="10" s="1"/>
  <c r="C7" i="10"/>
  <c r="C51" i="10" s="1"/>
  <c r="C6" i="10"/>
  <c r="B51" i="10" s="1"/>
  <c r="C9" i="9"/>
  <c r="C51" i="9" s="1"/>
  <c r="C8" i="9"/>
  <c r="B51" i="9" s="1"/>
  <c r="C7" i="9"/>
  <c r="C50" i="9" s="1"/>
  <c r="C6" i="9"/>
  <c r="B50" i="9" s="1"/>
  <c r="C9" i="8"/>
  <c r="C53" i="8" s="1"/>
  <c r="C8" i="8"/>
  <c r="B53" i="8" s="1"/>
  <c r="C7" i="8"/>
  <c r="C52" i="8" s="1"/>
  <c r="C6" i="8"/>
  <c r="B52" i="8" s="1"/>
  <c r="D15" i="24" l="1"/>
  <c r="F30" i="9"/>
  <c r="F24" i="9" s="1"/>
  <c r="G32" i="5"/>
  <c r="J11" i="24"/>
  <c r="G30" i="12"/>
  <c r="J18" i="24"/>
  <c r="N18" i="24" s="1"/>
  <c r="O18" i="24" s="1"/>
  <c r="G33" i="4"/>
  <c r="J10" i="24"/>
  <c r="N10" i="24" s="1"/>
  <c r="O10" i="24" s="1"/>
  <c r="G28" i="21"/>
  <c r="I31" i="24" s="1"/>
  <c r="D31" i="24"/>
  <c r="D88" i="1"/>
  <c r="G41" i="13"/>
  <c r="G44" i="13" s="1"/>
  <c r="H20" i="24"/>
  <c r="L30" i="24"/>
  <c r="M30" i="24"/>
  <c r="K30" i="24"/>
  <c r="D30" i="24"/>
  <c r="M27" i="24"/>
  <c r="L27" i="24"/>
  <c r="N27" i="24" s="1"/>
  <c r="K27" i="24"/>
  <c r="D27" i="24"/>
  <c r="D17" i="14"/>
  <c r="G26" i="14" s="1"/>
  <c r="D19" i="14"/>
  <c r="G19" i="14" s="1"/>
  <c r="D18" i="14"/>
  <c r="G18" i="14" s="1"/>
  <c r="D21" i="24"/>
  <c r="J13" i="24"/>
  <c r="G33" i="7"/>
  <c r="G35" i="7" s="1"/>
  <c r="G24" i="10"/>
  <c r="G28" i="10" s="1"/>
  <c r="I16" i="24" s="1"/>
  <c r="D14" i="24"/>
  <c r="G40" i="17"/>
  <c r="G42" i="17" s="1"/>
  <c r="G38" i="4"/>
  <c r="G36" i="5"/>
  <c r="G35" i="5"/>
  <c r="G37" i="5" s="1"/>
  <c r="G38" i="19"/>
  <c r="G42" i="19" s="1"/>
  <c r="D17" i="18"/>
  <c r="G17" i="18" s="1"/>
  <c r="J55" i="18"/>
  <c r="C11" i="18"/>
  <c r="D29" i="24" s="1"/>
  <c r="F34" i="23"/>
  <c r="F35" i="23" s="1"/>
  <c r="G35" i="23" s="1"/>
  <c r="C11" i="15"/>
  <c r="D22" i="24" s="1"/>
  <c r="J53" i="15"/>
  <c r="J63" i="23"/>
  <c r="J64" i="23" s="1"/>
  <c r="G17" i="23"/>
  <c r="G34" i="23"/>
  <c r="F36" i="23"/>
  <c r="G36" i="23" s="1"/>
  <c r="C11" i="16"/>
  <c r="D24" i="24" s="1"/>
  <c r="G17" i="16"/>
  <c r="J66" i="16"/>
  <c r="J67" i="16" s="1"/>
  <c r="D20" i="14"/>
  <c r="G20" i="14" s="1"/>
  <c r="F32" i="10"/>
  <c r="G32" i="10" s="1"/>
  <c r="G31" i="10"/>
  <c r="G29" i="8"/>
  <c r="I14" i="24" s="1"/>
  <c r="G33" i="8"/>
  <c r="G36" i="8" s="1"/>
  <c r="J14" i="24" s="1"/>
  <c r="M11" i="24" l="1"/>
  <c r="L11" i="24"/>
  <c r="N11" i="24" s="1"/>
  <c r="G36" i="21"/>
  <c r="J31" i="24" s="1"/>
  <c r="G43" i="13"/>
  <c r="G45" i="13"/>
  <c r="M20" i="24"/>
  <c r="L20" i="24"/>
  <c r="K20" i="24"/>
  <c r="N30" i="24"/>
  <c r="O30" i="24" s="1"/>
  <c r="O27" i="24"/>
  <c r="D19" i="15"/>
  <c r="G19" i="15" s="1"/>
  <c r="G17" i="14"/>
  <c r="G23" i="14" s="1"/>
  <c r="F28" i="14"/>
  <c r="G28" i="14" s="1"/>
  <c r="F34" i="14"/>
  <c r="F29" i="14"/>
  <c r="G29" i="14" s="1"/>
  <c r="G27" i="14"/>
  <c r="G36" i="7"/>
  <c r="G37" i="7"/>
  <c r="K13" i="24"/>
  <c r="M13" i="24"/>
  <c r="L13" i="24"/>
  <c r="N13" i="24" s="1"/>
  <c r="M14" i="24"/>
  <c r="L14" i="24"/>
  <c r="K14" i="24"/>
  <c r="G46" i="13"/>
  <c r="G43" i="17"/>
  <c r="G44" i="17"/>
  <c r="G39" i="4"/>
  <c r="G41" i="4" s="1"/>
  <c r="G42" i="4" s="1"/>
  <c r="G38" i="5"/>
  <c r="G40" i="5" s="1"/>
  <c r="G41" i="5" s="1"/>
  <c r="F11" i="24" s="1"/>
  <c r="G11" i="24" s="1"/>
  <c r="G35" i="12"/>
  <c r="G36" i="12" s="1"/>
  <c r="G38" i="12" s="1"/>
  <c r="G39" i="12" s="1"/>
  <c r="G41" i="19"/>
  <c r="G43" i="19" s="1"/>
  <c r="G40" i="19"/>
  <c r="G33" i="18"/>
  <c r="F34" i="18"/>
  <c r="G34" i="18" s="1"/>
  <c r="F35" i="18"/>
  <c r="G35" i="18" s="1"/>
  <c r="G22" i="18"/>
  <c r="H29" i="24" s="1"/>
  <c r="D17" i="15"/>
  <c r="G17" i="15" s="1"/>
  <c r="D18" i="15"/>
  <c r="G18" i="15" s="1"/>
  <c r="F31" i="15"/>
  <c r="G24" i="9"/>
  <c r="F25" i="9"/>
  <c r="G25" i="9" s="1"/>
  <c r="F33" i="16"/>
  <c r="G39" i="23"/>
  <c r="J25" i="24" s="1"/>
  <c r="D21" i="23"/>
  <c r="G21" i="23" s="1"/>
  <c r="D19" i="23"/>
  <c r="G19" i="23" s="1"/>
  <c r="D20" i="23"/>
  <c r="G20" i="23" s="1"/>
  <c r="D18" i="16"/>
  <c r="G18" i="16" s="1"/>
  <c r="D20" i="16"/>
  <c r="G20" i="16" s="1"/>
  <c r="D19" i="16"/>
  <c r="G19" i="16" s="1"/>
  <c r="G37" i="8"/>
  <c r="G35" i="10"/>
  <c r="O13" i="24" l="1"/>
  <c r="G42" i="1"/>
  <c r="F18" i="24"/>
  <c r="G18" i="24" s="1"/>
  <c r="O11" i="24"/>
  <c r="M31" i="24"/>
  <c r="L31" i="24"/>
  <c r="K31" i="24"/>
  <c r="G47" i="13"/>
  <c r="G49" i="13" s="1"/>
  <c r="G50" i="13" s="1"/>
  <c r="I50" i="13" s="1"/>
  <c r="N20" i="24"/>
  <c r="O20" i="24" s="1"/>
  <c r="G22" i="15"/>
  <c r="H22" i="24" s="1"/>
  <c r="G31" i="14"/>
  <c r="I21" i="24" s="1"/>
  <c r="F35" i="14"/>
  <c r="G35" i="14" s="1"/>
  <c r="G34" i="14"/>
  <c r="F36" i="14"/>
  <c r="G36" i="14" s="1"/>
  <c r="H21" i="24"/>
  <c r="G38" i="7"/>
  <c r="G39" i="7" s="1"/>
  <c r="G41" i="7" s="1"/>
  <c r="G42" i="7" s="1"/>
  <c r="F10" i="24"/>
  <c r="G10" i="24" s="1"/>
  <c r="G11" i="1"/>
  <c r="G36" i="10"/>
  <c r="J16" i="24"/>
  <c r="N14" i="24"/>
  <c r="G45" i="17"/>
  <c r="G46" i="17" s="1"/>
  <c r="G48" i="17" s="1"/>
  <c r="G49" i="17" s="1"/>
  <c r="H28" i="17" s="1"/>
  <c r="G44" i="19"/>
  <c r="G46" i="19" s="1"/>
  <c r="G47" i="19" s="1"/>
  <c r="H26" i="19" s="1"/>
  <c r="G38" i="18"/>
  <c r="J29" i="24" s="1"/>
  <c r="M29" i="24" s="1"/>
  <c r="G41" i="8"/>
  <c r="G39" i="8"/>
  <c r="G37" i="21"/>
  <c r="G41" i="21" s="1"/>
  <c r="G25" i="23"/>
  <c r="H25" i="24" s="1"/>
  <c r="G31" i="15"/>
  <c r="F33" i="15"/>
  <c r="G33" i="15" s="1"/>
  <c r="F32" i="15"/>
  <c r="G32" i="15" s="1"/>
  <c r="G30" i="9"/>
  <c r="F31" i="9"/>
  <c r="G31" i="9" s="1"/>
  <c r="G27" i="9"/>
  <c r="I15" i="24" s="1"/>
  <c r="G40" i="23"/>
  <c r="G24" i="16"/>
  <c r="H24" i="24" s="1"/>
  <c r="F35" i="16"/>
  <c r="G35" i="16" s="1"/>
  <c r="G33" i="16"/>
  <c r="F34" i="16"/>
  <c r="G34" i="16" s="1"/>
  <c r="G40" i="8"/>
  <c r="L29" i="24" l="1"/>
  <c r="N29" i="24"/>
  <c r="G39" i="18"/>
  <c r="G43" i="18" s="1"/>
  <c r="K29" i="24"/>
  <c r="O29" i="24" s="1"/>
  <c r="N31" i="24"/>
  <c r="O31" i="24" s="1"/>
  <c r="G44" i="23"/>
  <c r="G42" i="23"/>
  <c r="L25" i="24"/>
  <c r="K25" i="24"/>
  <c r="M25" i="24"/>
  <c r="N25" i="24" s="1"/>
  <c r="F30" i="24"/>
  <c r="G30" i="24" s="1"/>
  <c r="F27" i="24"/>
  <c r="G27" i="24" s="1"/>
  <c r="G39" i="14"/>
  <c r="F13" i="24"/>
  <c r="G13" i="24" s="1"/>
  <c r="G40" i="10"/>
  <c r="G38" i="10"/>
  <c r="G39" i="10"/>
  <c r="L16" i="24"/>
  <c r="K16" i="24"/>
  <c r="M16" i="24"/>
  <c r="G34" i="9"/>
  <c r="J15" i="24" s="1"/>
  <c r="J32" i="24" s="1"/>
  <c r="I32" i="24"/>
  <c r="O14" i="24"/>
  <c r="G41" i="18"/>
  <c r="G42" i="18"/>
  <c r="G44" i="18" s="1"/>
  <c r="G42" i="8"/>
  <c r="G43" i="8" s="1"/>
  <c r="G45" i="8" s="1"/>
  <c r="G39" i="21"/>
  <c r="G40" i="21"/>
  <c r="G42" i="21" s="1"/>
  <c r="G36" i="15"/>
  <c r="G43" i="23"/>
  <c r="G45" i="23" s="1"/>
  <c r="G38" i="16"/>
  <c r="J24" i="24" s="1"/>
  <c r="L24" i="24" s="1"/>
  <c r="G39" i="16" l="1"/>
  <c r="G41" i="16" s="1"/>
  <c r="O25" i="24"/>
  <c r="G46" i="23"/>
  <c r="K24" i="24"/>
  <c r="M24" i="24"/>
  <c r="N24" i="24" s="1"/>
  <c r="G37" i="15"/>
  <c r="G39" i="15" s="1"/>
  <c r="J22" i="24"/>
  <c r="J21" i="24"/>
  <c r="G40" i="14"/>
  <c r="G41" i="10"/>
  <c r="G42" i="10" s="1"/>
  <c r="G44" i="10" s="1"/>
  <c r="G45" i="10" s="1"/>
  <c r="N16" i="24"/>
  <c r="O16" i="24" s="1"/>
  <c r="G35" i="9"/>
  <c r="G37" i="9" s="1"/>
  <c r="K15" i="24"/>
  <c r="K32" i="24" s="1"/>
  <c r="M15" i="24"/>
  <c r="M32" i="24" s="1"/>
  <c r="L15" i="24"/>
  <c r="L32" i="24" s="1"/>
  <c r="G46" i="8"/>
  <c r="H24" i="8" s="1"/>
  <c r="H25" i="8"/>
  <c r="G45" i="18"/>
  <c r="G47" i="18" s="1"/>
  <c r="G48" i="18" s="1"/>
  <c r="F29" i="24" s="1"/>
  <c r="G29" i="24" s="1"/>
  <c r="G43" i="21"/>
  <c r="G45" i="21" s="1"/>
  <c r="G46" i="21" s="1"/>
  <c r="G48" i="23"/>
  <c r="G49" i="23" s="1"/>
  <c r="F25" i="24" s="1"/>
  <c r="G25" i="24" s="1"/>
  <c r="G42" i="16"/>
  <c r="F31" i="24" l="1"/>
  <c r="G31" i="24" s="1"/>
  <c r="F88" i="1"/>
  <c r="G88" i="1" s="1"/>
  <c r="G43" i="16"/>
  <c r="G44" i="16" s="1"/>
  <c r="G45" i="16" s="1"/>
  <c r="G47" i="16" s="1"/>
  <c r="G48" i="16" s="1"/>
  <c r="O24" i="24"/>
  <c r="L22" i="24"/>
  <c r="K22" i="24"/>
  <c r="M22" i="24"/>
  <c r="G41" i="15"/>
  <c r="G40" i="15"/>
  <c r="G42" i="14"/>
  <c r="G43" i="14"/>
  <c r="G44" i="14"/>
  <c r="M21" i="24"/>
  <c r="K21" i="24"/>
  <c r="L21" i="24"/>
  <c r="G38" i="1"/>
  <c r="F16" i="24"/>
  <c r="G16" i="24" s="1"/>
  <c r="N15" i="24"/>
  <c r="N32" i="24" s="1"/>
  <c r="G38" i="9"/>
  <c r="G39" i="9"/>
  <c r="F14" i="24"/>
  <c r="G14" i="24" s="1"/>
  <c r="G36" i="1"/>
  <c r="F24" i="24" l="1"/>
  <c r="G24" i="24" s="1"/>
  <c r="H49" i="23"/>
  <c r="I49" i="23" s="1"/>
  <c r="G42" i="15"/>
  <c r="N22" i="24"/>
  <c r="O22" i="24" s="1"/>
  <c r="G43" i="15"/>
  <c r="G45" i="15"/>
  <c r="G46" i="15" s="1"/>
  <c r="H25" i="15" s="1"/>
  <c r="G45" i="14"/>
  <c r="G46" i="14" s="1"/>
  <c r="G48" i="14" s="1"/>
  <c r="G49" i="14" s="1"/>
  <c r="N21" i="24"/>
  <c r="O21" i="24" s="1"/>
  <c r="O15" i="24"/>
  <c r="O32" i="24" s="1"/>
  <c r="G40" i="9"/>
  <c r="G41" i="9" s="1"/>
  <c r="G43" i="9" s="1"/>
  <c r="G44" i="9" s="1"/>
  <c r="F15" i="24" s="1"/>
  <c r="G15" i="24" s="1"/>
  <c r="G32" i="24" s="1"/>
  <c r="G45" i="1" l="1"/>
  <c r="H26" i="14"/>
  <c r="G46" i="1"/>
  <c r="F22" i="24"/>
  <c r="G22" i="24" s="1"/>
  <c r="F21" i="24"/>
  <c r="G21" i="24" s="1"/>
  <c r="G37" i="1"/>
  <c r="G16" i="27" l="1"/>
  <c r="G21" i="27" s="1"/>
  <c r="G36" i="27" s="1"/>
  <c r="G40" i="27" l="1"/>
  <c r="G38" i="27"/>
  <c r="G42" i="27" s="1"/>
  <c r="G44" i="27" s="1"/>
  <c r="G45" i="27" s="1"/>
  <c r="G39" i="27"/>
  <c r="G41" i="27" s="1"/>
  <c r="F16" i="26"/>
  <c r="G16" i="26" s="1"/>
  <c r="G21" i="26" s="1"/>
  <c r="G36" i="26" s="1"/>
  <c r="G39" i="26" s="1"/>
  <c r="F16" i="25"/>
  <c r="G16" i="25" s="1"/>
  <c r="G21" i="25" s="1"/>
  <c r="G36" i="25" s="1"/>
  <c r="G39" i="25" s="1"/>
  <c r="G38" i="26" l="1"/>
  <c r="G40" i="25"/>
  <c r="G41" i="25" s="1"/>
  <c r="G38" i="25"/>
  <c r="G40" i="26"/>
  <c r="G41" i="26" s="1"/>
  <c r="G42" i="26" l="1"/>
  <c r="G44" i="26" s="1"/>
  <c r="G45" i="26" s="1"/>
  <c r="G42" i="25"/>
  <c r="G44" i="25" s="1"/>
  <c r="G45" i="25" s="1"/>
  <c r="G163" i="1" s="1"/>
  <c r="G165" i="1" s="1"/>
</calcChain>
</file>

<file path=xl/sharedStrings.xml><?xml version="1.0" encoding="utf-8"?>
<sst xmlns="http://schemas.openxmlformats.org/spreadsheetml/2006/main" count="1899" uniqueCount="380">
  <si>
    <t xml:space="preserve">Project Name: </t>
  </si>
  <si>
    <t>Location:</t>
  </si>
  <si>
    <t>DESCRIPTION</t>
  </si>
  <si>
    <t>QTY</t>
  </si>
  <si>
    <t>QUANTITY</t>
  </si>
  <si>
    <t>UNIT</t>
  </si>
  <si>
    <t>UNIT COST</t>
  </si>
  <si>
    <t>AMOUNT</t>
  </si>
  <si>
    <t>Proposed /Construction of Adidtional Footing/ Column &amp; Beam for Archbishop's Palace</t>
  </si>
  <si>
    <t xml:space="preserve">D. Jakosalem St., Cebu City </t>
  </si>
  <si>
    <t xml:space="preserve">ITEM NO. </t>
  </si>
  <si>
    <t>I.</t>
  </si>
  <si>
    <t>II.</t>
  </si>
  <si>
    <t>General Requirements</t>
  </si>
  <si>
    <t>I.1</t>
  </si>
  <si>
    <t>I.2</t>
  </si>
  <si>
    <t xml:space="preserve">Health &amp; Safety </t>
  </si>
  <si>
    <t>Material Testing</t>
  </si>
  <si>
    <t>Site Works</t>
  </si>
  <si>
    <t xml:space="preserve">Excavation </t>
  </si>
  <si>
    <t xml:space="preserve">Backfill &amp; Fill </t>
  </si>
  <si>
    <t>II.1</t>
  </si>
  <si>
    <t>II.2</t>
  </si>
  <si>
    <t>II.3</t>
  </si>
  <si>
    <t>II.4</t>
  </si>
  <si>
    <t>II.5</t>
  </si>
  <si>
    <t>III.</t>
  </si>
  <si>
    <t>IV.</t>
  </si>
  <si>
    <t>Concrete Works</t>
  </si>
  <si>
    <t>IV.1</t>
  </si>
  <si>
    <t>IV.2</t>
  </si>
  <si>
    <t>IV.3</t>
  </si>
  <si>
    <t>Plastering</t>
  </si>
  <si>
    <t>Demolition &amp; Restoration</t>
  </si>
  <si>
    <t>V.</t>
  </si>
  <si>
    <t>VI.</t>
  </si>
  <si>
    <t>V.1</t>
  </si>
  <si>
    <t>Roofing Works</t>
  </si>
  <si>
    <t>Ceiling Works</t>
  </si>
  <si>
    <t xml:space="preserve">Temporary Fence </t>
  </si>
  <si>
    <t>VII.</t>
  </si>
  <si>
    <t>VIII.</t>
  </si>
  <si>
    <t>Detailed Unit Price Analysis:</t>
  </si>
  <si>
    <t>Unit</t>
  </si>
  <si>
    <t>Unit:</t>
  </si>
  <si>
    <t>Quatity:</t>
  </si>
  <si>
    <t xml:space="preserve">Item No.: </t>
  </si>
  <si>
    <t xml:space="preserve">Sub-Item No.: </t>
  </si>
  <si>
    <t xml:space="preserve">Item of Works: </t>
  </si>
  <si>
    <t xml:space="preserve">Sub-Item of Works: </t>
  </si>
  <si>
    <t>EQUIPMENT</t>
  </si>
  <si>
    <t>Total Materials Cost:</t>
  </si>
  <si>
    <t>Total Equipment Cost:</t>
  </si>
  <si>
    <t>Total Manpower Cost:</t>
  </si>
  <si>
    <t>MANPOWER</t>
  </si>
  <si>
    <t>TOTAL INDIRECT COST:</t>
  </si>
  <si>
    <t>Unit Cost:</t>
  </si>
  <si>
    <t>TOTAL CONSTRUCTION COST:</t>
  </si>
  <si>
    <t>Detailed Quantity Calculations:</t>
  </si>
  <si>
    <t>Item No.</t>
  </si>
  <si>
    <t>Description</t>
  </si>
  <si>
    <t>No. of Units</t>
  </si>
  <si>
    <t>No. of Sets</t>
  </si>
  <si>
    <t>Length</t>
  </si>
  <si>
    <t>Width/Area</t>
  </si>
  <si>
    <t>Height</t>
  </si>
  <si>
    <t xml:space="preserve">%Waste </t>
  </si>
  <si>
    <t>Qty</t>
  </si>
  <si>
    <t>RATE/DAY</t>
  </si>
  <si>
    <t>NO. OF DAYS</t>
  </si>
  <si>
    <t>Jack Hammer</t>
  </si>
  <si>
    <t>Service Truck with Driver</t>
  </si>
  <si>
    <t>Foreman</t>
  </si>
  <si>
    <t>Unskilled Labor</t>
  </si>
  <si>
    <t>A. MATERIALS</t>
  </si>
  <si>
    <t>B. EQUIPMENT</t>
  </si>
  <si>
    <t>C. MANPOWER</t>
  </si>
  <si>
    <t>TOTAL DIRECT COST (A+B+C):</t>
  </si>
  <si>
    <t>G. VAT</t>
  </si>
  <si>
    <t>E. Overhead, Miscellaneous &amp; Contingencies (OCM)</t>
  </si>
  <si>
    <t>of Direct Cost</t>
  </si>
  <si>
    <t>F. Contractor's Profit</t>
  </si>
  <si>
    <t>of (DC+OCM+CP)</t>
  </si>
  <si>
    <t xml:space="preserve">Hallway </t>
  </si>
  <si>
    <t>sq.m.</t>
  </si>
  <si>
    <t>Wall</t>
  </si>
  <si>
    <t>a.</t>
  </si>
  <si>
    <t>b.</t>
  </si>
  <si>
    <t>c.</t>
  </si>
  <si>
    <t>Minor Tools</t>
  </si>
  <si>
    <t>Column</t>
  </si>
  <si>
    <t>Footing</t>
  </si>
  <si>
    <t>Tampering Rammer/ Compactor</t>
  </si>
  <si>
    <t>Chipping Gun</t>
  </si>
  <si>
    <t>ln.m.</t>
  </si>
  <si>
    <t>cu.m.</t>
  </si>
  <si>
    <t>Consumables</t>
  </si>
  <si>
    <t>lot</t>
  </si>
  <si>
    <t>Formworks &amp; Scaffoldings (Rental)</t>
  </si>
  <si>
    <t>Sand</t>
  </si>
  <si>
    <t xml:space="preserve">Gravel </t>
  </si>
  <si>
    <t>Water</t>
  </si>
  <si>
    <t>Beams</t>
  </si>
  <si>
    <t>Cast-in-place Concrete (3000 psi) for Footing, Columns &amp; Beams</t>
  </si>
  <si>
    <t>2B1</t>
  </si>
  <si>
    <t>2B2</t>
  </si>
  <si>
    <t>Grid E-F</t>
  </si>
  <si>
    <t>Grid F-G</t>
  </si>
  <si>
    <t>Grid G-H</t>
  </si>
  <si>
    <t>Grid 2- F to G</t>
  </si>
  <si>
    <t>c.1</t>
  </si>
  <si>
    <t>c.2</t>
  </si>
  <si>
    <t>Grid E</t>
  </si>
  <si>
    <t>Grid F</t>
  </si>
  <si>
    <t>Grid G</t>
  </si>
  <si>
    <t>Grid H</t>
  </si>
  <si>
    <t>Grid 2-G</t>
  </si>
  <si>
    <t>Grid 2-H</t>
  </si>
  <si>
    <t>bags</t>
  </si>
  <si>
    <t>Portland Cement</t>
  </si>
  <si>
    <t>One Bagger Mixer</t>
  </si>
  <si>
    <t>Concrete Vibrator</t>
  </si>
  <si>
    <t>Skilled Labor</t>
  </si>
  <si>
    <t xml:space="preserve">  </t>
  </si>
  <si>
    <t>Fabrication of Reinforcing Bars for Footing, Columns &amp; Beams</t>
  </si>
  <si>
    <t>Masonry Works</t>
  </si>
  <si>
    <t>6" Concrete Hollow Blocks</t>
  </si>
  <si>
    <t>4" Concrete Hollow Blocks</t>
  </si>
  <si>
    <t>V.2</t>
  </si>
  <si>
    <t>V.3</t>
  </si>
  <si>
    <t xml:space="preserve">Size of 6" CHB  </t>
  </si>
  <si>
    <t>(6"x8"x16")</t>
  </si>
  <si>
    <t>(152.4mmx203.2mmx406.4mm)</t>
  </si>
  <si>
    <t>Gym Exterior along Grid 1</t>
  </si>
  <si>
    <t>Gym Exterior along Grid 2</t>
  </si>
  <si>
    <t>Gym Exterior along Grid H</t>
  </si>
  <si>
    <t>Cement</t>
  </si>
  <si>
    <t>6" CHB</t>
  </si>
  <si>
    <t>Mortar in Between CHB Lines:</t>
  </si>
  <si>
    <t>(Thickness of Mortar 0.012mm)</t>
  </si>
  <si>
    <t xml:space="preserve">Perimeter </t>
  </si>
  <si>
    <t>pcs</t>
  </si>
  <si>
    <t>Volume of Mortar in Between CHB Lines:</t>
  </si>
  <si>
    <t>Volume of Mortar in 4 Hollow Cores:</t>
  </si>
  <si>
    <t>Total</t>
  </si>
  <si>
    <t>Gym Exterior along Grid G</t>
  </si>
  <si>
    <t>volume</t>
  </si>
  <si>
    <t>b.1</t>
  </si>
  <si>
    <t>b.2</t>
  </si>
  <si>
    <t>D. Mobilization/Demobilization</t>
  </si>
  <si>
    <t>Gym Wall along Grid 1</t>
  </si>
  <si>
    <t>Gym Wall along Grid 2</t>
  </si>
  <si>
    <t>Gym Wall along Grid H</t>
  </si>
  <si>
    <t>gals</t>
  </si>
  <si>
    <t>Restoration of Demolished Areas</t>
  </si>
  <si>
    <t>Hallway</t>
  </si>
  <si>
    <t>Height/ Thickness</t>
  </si>
  <si>
    <t>d.1</t>
  </si>
  <si>
    <t>d.2</t>
  </si>
  <si>
    <t>d.</t>
  </si>
  <si>
    <t>Trussess</t>
  </si>
  <si>
    <t>Top Chord</t>
  </si>
  <si>
    <t>Bottom Chord</t>
  </si>
  <si>
    <t>D1</t>
  </si>
  <si>
    <t>D2</t>
  </si>
  <si>
    <t>Vertical Chord 1</t>
  </si>
  <si>
    <t>Vertical Chord 2</t>
  </si>
  <si>
    <t>Vertical Chord 3</t>
  </si>
  <si>
    <t>(Exterior Beams)</t>
  </si>
  <si>
    <t>(Interior Beam)</t>
  </si>
  <si>
    <t>Welding Machine</t>
  </si>
  <si>
    <t>Welding Rod #6011</t>
  </si>
  <si>
    <t>box</t>
  </si>
  <si>
    <t>C-Purlins</t>
  </si>
  <si>
    <t>50mmx75mmx1.2mm C-purlins</t>
  </si>
  <si>
    <t>Interior</t>
  </si>
  <si>
    <t>Interior Trusses (Gym)</t>
  </si>
  <si>
    <t>Exterior Trusses (Hallway)</t>
  </si>
  <si>
    <t>lengths</t>
  </si>
  <si>
    <t>50mmx50mmx6mm Angle Bar</t>
  </si>
  <si>
    <t>Cutting Otfit</t>
  </si>
  <si>
    <t>Corrugated G.I. Sheet Guage 22</t>
  </si>
  <si>
    <t>TeckScrew</t>
  </si>
  <si>
    <t>Fascia Board</t>
  </si>
  <si>
    <t>Corrugated G.I. Sheet x 10ft, Guage 22</t>
  </si>
  <si>
    <t>sheets</t>
  </si>
  <si>
    <t>VII.1</t>
  </si>
  <si>
    <t>VII.2</t>
  </si>
  <si>
    <t>months</t>
  </si>
  <si>
    <t>Site Lay-out/Clearing &amp; Grubbing</t>
  </si>
  <si>
    <t>Consumables includes Safety Gloves, Safety Googles, Harness, and other Protective &amp; Safety Equipments)</t>
  </si>
  <si>
    <t>Exterior</t>
  </si>
  <si>
    <t xml:space="preserve">9mm Thick Gypsum Board </t>
  </si>
  <si>
    <t>Cross Tee, 4ft</t>
  </si>
  <si>
    <t>Main Tee, 12 ft</t>
  </si>
  <si>
    <t>Wall Angle, 10 ft</t>
  </si>
  <si>
    <t>Hangers</t>
  </si>
  <si>
    <t>Gypsum Putty</t>
  </si>
  <si>
    <t>Mesh Tape</t>
  </si>
  <si>
    <t>Gyspsum Screw</t>
  </si>
  <si>
    <r>
      <t xml:space="preserve">Painting Works </t>
    </r>
    <r>
      <rPr>
        <b/>
        <sz val="10"/>
        <color theme="1"/>
        <rFont val="Arial"/>
        <family val="2"/>
      </rPr>
      <t>(Exclusive of Ceiling)</t>
    </r>
  </si>
  <si>
    <t>Alpha Main Bar</t>
  </si>
  <si>
    <t>roll</t>
  </si>
  <si>
    <t>lumpsum</t>
  </si>
  <si>
    <t>25mm dia Def Bars, Grade 40</t>
  </si>
  <si>
    <t>10mm dia Def Bars, Grade 33</t>
  </si>
  <si>
    <t>20mm dia Def Bars, Grade 40</t>
  </si>
  <si>
    <t>16mm dia Def Bars, Grade 40</t>
  </si>
  <si>
    <t>12mm dia Def Bars, Grade 40</t>
  </si>
  <si>
    <t xml:space="preserve">Bar Cutter </t>
  </si>
  <si>
    <t>Bar Bender</t>
  </si>
  <si>
    <t>G.I. Tie Wire #16</t>
  </si>
  <si>
    <t>rolls</t>
  </si>
  <si>
    <t xml:space="preserve">MATERIALS </t>
  </si>
  <si>
    <t>M/D</t>
  </si>
  <si>
    <t>OCM</t>
  </si>
  <si>
    <t>PROFIT</t>
  </si>
  <si>
    <t>TOTAL AMOUNT</t>
  </si>
  <si>
    <t>PROGRAM OF WORKS (POW)</t>
  </si>
  <si>
    <t>BILL OF QUANTITIES (BOQ)</t>
  </si>
  <si>
    <t>ITEMS FROM BILL OF QUANTITIES (BOQ)</t>
  </si>
  <si>
    <t>VAT (Excluded M/D)</t>
  </si>
  <si>
    <t>Contractor:</t>
  </si>
  <si>
    <t xml:space="preserve">EIDOX Development </t>
  </si>
  <si>
    <t>Columns</t>
  </si>
  <si>
    <t xml:space="preserve">Footing </t>
  </si>
  <si>
    <t>Area Surrounded by Columns</t>
  </si>
  <si>
    <t>d.3</t>
  </si>
  <si>
    <t>Suspended Slab</t>
  </si>
  <si>
    <t>Column2 (below FFL)</t>
  </si>
  <si>
    <t>Column1(above FFL)</t>
  </si>
  <si>
    <t>Corrugated G.I. Sheet x 12ft, Guage 22</t>
  </si>
  <si>
    <t>Plumbing Works</t>
  </si>
  <si>
    <t>Electrical Works</t>
  </si>
  <si>
    <t>Plumbing Works:Pipes, Fittings, Fixtures and Other Needed Items (Inclusions of Labor &amp; Equipment Used)</t>
  </si>
  <si>
    <t>Electrical Works: Conduits, Fittings, Fixtures and Other Needed Items (Inclusions of Labor &amp; Equipment Used)</t>
  </si>
  <si>
    <t>kg</t>
  </si>
  <si>
    <t>lot area</t>
  </si>
  <si>
    <t>amount times 130 kg/cu.m.</t>
  </si>
  <si>
    <t>Furnitures: Kitchen, Bedrooms &amp; Cabinets</t>
  </si>
  <si>
    <t>Painting (Interior &amp; Exterior Walls)</t>
  </si>
  <si>
    <t>A.1</t>
  </si>
  <si>
    <t>Mobilization/Demobilization</t>
  </si>
  <si>
    <t>A.2</t>
  </si>
  <si>
    <t>A.3</t>
  </si>
  <si>
    <t>Project Billboard and Signages</t>
  </si>
  <si>
    <t xml:space="preserve">Health and Safety </t>
  </si>
  <si>
    <t>Personal Protective Equipment (PPE)</t>
  </si>
  <si>
    <t>Safety Signages and Barricades</t>
  </si>
  <si>
    <t>First Aid Kit and Emergency Kit</t>
  </si>
  <si>
    <t>Monthly Safety and Security Officer Fee</t>
  </si>
  <si>
    <t>A.4</t>
  </si>
  <si>
    <t>A.5</t>
  </si>
  <si>
    <t>Temporary Facilities</t>
  </si>
  <si>
    <t>Contractor's Field Office</t>
  </si>
  <si>
    <t>Temporary Water and Electricity</t>
  </si>
  <si>
    <t>Toilet Facilities (portalets)</t>
  </si>
  <si>
    <t>Material Stockpile Area</t>
  </si>
  <si>
    <t>Permits and Clearances</t>
  </si>
  <si>
    <t>Building Permit</t>
  </si>
  <si>
    <t>Electrical Permit</t>
  </si>
  <si>
    <t>Mechanical Permit</t>
  </si>
  <si>
    <t>Sanitary/Plumbing Permit</t>
  </si>
  <si>
    <t>Project Close-out and Turnover</t>
  </si>
  <si>
    <t>Staking and Lay-out</t>
  </si>
  <si>
    <t>Backfill &amp; Compaction</t>
  </si>
  <si>
    <t>-</t>
  </si>
  <si>
    <t>Gravel Bedding</t>
  </si>
  <si>
    <t>Temporary Fencing</t>
  </si>
  <si>
    <t>lnm</t>
  </si>
  <si>
    <t>tons</t>
  </si>
  <si>
    <t>Concrete Placement Labor</t>
  </si>
  <si>
    <t>Pumping Labor</t>
  </si>
  <si>
    <t>Labor for Pouring and Finishing</t>
  </si>
  <si>
    <t>Curing Compund and Curing Labor</t>
  </si>
  <si>
    <t>4" Concrete Hollow Blocks (CHB)</t>
  </si>
  <si>
    <t>4" CHB (load bearing)</t>
  </si>
  <si>
    <t>pcs.</t>
  </si>
  <si>
    <t>Cement for Mortar</t>
  </si>
  <si>
    <t>Sand for Mortar</t>
  </si>
  <si>
    <t>10mm Horizontal Reinforcement</t>
  </si>
  <si>
    <t>Vertical Reinforcement Bars</t>
  </si>
  <si>
    <t>Mason Labor</t>
  </si>
  <si>
    <t>Helper Labor</t>
  </si>
  <si>
    <t>Proposed /Construction of 3 Storey 342 square meter Apartment Building</t>
  </si>
  <si>
    <t>CHB Plastering (Both Sides)</t>
  </si>
  <si>
    <t>Cement for Plaster</t>
  </si>
  <si>
    <t>Sand for Plaster</t>
  </si>
  <si>
    <t>Plasterer Labor</t>
  </si>
  <si>
    <t>Architectural Works</t>
  </si>
  <si>
    <t>Masonry Works incuding partition</t>
  </si>
  <si>
    <t>Flooring Works</t>
  </si>
  <si>
    <t>Homogenous Tiles 600x600mm/units</t>
  </si>
  <si>
    <t>Non-slip Tiles Roofdeck and Bath</t>
  </si>
  <si>
    <t>Tile Adhesive and Grout</t>
  </si>
  <si>
    <t>Tilesetter Labor</t>
  </si>
  <si>
    <t>PVC ceiling boards (6mm thk)</t>
  </si>
  <si>
    <t>Ceiling Frameworks (metal furrings)</t>
  </si>
  <si>
    <t>Ceiling Installation Labor</t>
  </si>
  <si>
    <t>Window Works (Jalousie Type)</t>
  </si>
  <si>
    <t>Aluminum Frame Jalousie Windows</t>
  </si>
  <si>
    <t>units</t>
  </si>
  <si>
    <t>Annealed Glass Bronze</t>
  </si>
  <si>
    <t>Installation Labor</t>
  </si>
  <si>
    <t xml:space="preserve">Painting Works </t>
  </si>
  <si>
    <t>Doors</t>
  </si>
  <si>
    <t>Panel Doors (.90mx2.10m) unit doors</t>
  </si>
  <si>
    <t>sets</t>
  </si>
  <si>
    <t>Common Area Doors (1.00mx2.10m)</t>
  </si>
  <si>
    <t>Bathroom Doors</t>
  </si>
  <si>
    <t>Door Jambs and Hardware</t>
  </si>
  <si>
    <t>s</t>
  </si>
  <si>
    <t>Interior Wall Paint (latesx,premium)</t>
  </si>
  <si>
    <t>gallons</t>
  </si>
  <si>
    <t>Exterior Wall Paint (acrylic)</t>
  </si>
  <si>
    <t>Ceiling Paint</t>
  </si>
  <si>
    <t>Painting Materials</t>
  </si>
  <si>
    <t>Painter Labor</t>
  </si>
  <si>
    <t>Roofdeck Waterproofing</t>
  </si>
  <si>
    <t xml:space="preserve">Liquid Membrane (2 coats)         </t>
  </si>
  <si>
    <t>Application Labor</t>
  </si>
  <si>
    <t>Handrails and Balustrades</t>
  </si>
  <si>
    <t>50mm MS Pipe Handrail w/ Balusters</t>
  </si>
  <si>
    <t>Fabrication and Installation Labor</t>
  </si>
  <si>
    <t>Water Supply System</t>
  </si>
  <si>
    <t>PVC pipes (1/2,3/4,1)</t>
  </si>
  <si>
    <t>Fittings and Valves</t>
  </si>
  <si>
    <t>Water Tanks (2 units 2000 liters each)</t>
  </si>
  <si>
    <t>Water Pump (1.5 HP)&amp; Pressure Tank</t>
  </si>
  <si>
    <t>Sanitary and Drainage System</t>
  </si>
  <si>
    <t>PVC pipes (4,3,2)</t>
  </si>
  <si>
    <t>Fittings and Cleanouts</t>
  </si>
  <si>
    <t>Toilet Bowls and Flush Tanks (10 sets)</t>
  </si>
  <si>
    <t>Lavatories and Faucets (10 sets)</t>
  </si>
  <si>
    <t>Storm Drainage</t>
  </si>
  <si>
    <t>Gutters and Downspouts</t>
  </si>
  <si>
    <t>Panel Boards and Breakers</t>
  </si>
  <si>
    <t>Main Panel Board (30 circuits)</t>
  </si>
  <si>
    <t>Sub Panel Boards (3 units)</t>
  </si>
  <si>
    <t>Main Breaker (125 AT, 2P)</t>
  </si>
  <si>
    <t>Branch Breakers (20AT,2P)</t>
  </si>
  <si>
    <t>Wires and conduits</t>
  </si>
  <si>
    <t>THHN Wires (2.0mm², 3.5mm², 5.5mm², 8.0mm²</t>
  </si>
  <si>
    <t>PVC Conduits (½", ¾", 1")</t>
  </si>
  <si>
    <t>Junction Boxes and Accesories</t>
  </si>
  <si>
    <t>Wiring Devices</t>
  </si>
  <si>
    <t>Convenience Outlets</t>
  </si>
  <si>
    <t>Switches (singel/double)</t>
  </si>
  <si>
    <t>Utility Boxes and Plates</t>
  </si>
  <si>
    <t>Lighting Fixtures</t>
  </si>
  <si>
    <t>Ceiling Lights (6')</t>
  </si>
  <si>
    <t>Exterior Lights</t>
  </si>
  <si>
    <t>Emergency Lights</t>
  </si>
  <si>
    <t>ACU Rough In and Ventilation</t>
  </si>
  <si>
    <t>ACU Outlet Rough In (10 units)</t>
  </si>
  <si>
    <t>Exhaust Fans (Bathrooms)</t>
  </si>
  <si>
    <t>Ventilation Labor</t>
  </si>
  <si>
    <t>Electrical Installation Labor</t>
  </si>
  <si>
    <t>Roofing Works (half only)</t>
  </si>
  <si>
    <t>Steel Angle Bars (50mm x 50mm x 6mm</t>
  </si>
  <si>
    <t>C-Purlins (50mm x 75mm x 1.2mm</t>
  </si>
  <si>
    <t>Welding Rods and Consumables</t>
  </si>
  <si>
    <t>Corrugated G.I. Sheets (Gauge 22</t>
  </si>
  <si>
    <t>Tek Screws &amp; Accessories</t>
  </si>
  <si>
    <t>External Works</t>
  </si>
  <si>
    <t>Perimeter Fencing</t>
  </si>
  <si>
    <t>CHB Fence with Concrete Posts</t>
  </si>
  <si>
    <t>Gate</t>
  </si>
  <si>
    <t>Steel Gate (4.0m width, with slide</t>
  </si>
  <si>
    <t>Installation and Hardware</t>
  </si>
  <si>
    <t>Concrete Pavement/Walkway</t>
  </si>
  <si>
    <t>Gravel Base</t>
  </si>
  <si>
    <t>Concrete Pavement (100mm thick)</t>
  </si>
  <si>
    <t>Labor</t>
  </si>
  <si>
    <t>Brgy. Lamac, Consolacion, Cebu</t>
  </si>
  <si>
    <t>Jaime Bernardo Tumulak</t>
  </si>
  <si>
    <t>President</t>
  </si>
  <si>
    <t>Total Area: 342 square meters</t>
  </si>
  <si>
    <t>Discounted Price: (Minus 3% from OCM)</t>
  </si>
  <si>
    <t>Price Per Unit: 24,269.00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</si>
</sst>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0" xfId="0" applyFont="1"/>
    <xf numFmtId="164" fontId="2" fillId="0" borderId="0" xfId="1" applyFont="1" applyAlignment="1">
      <alignment horizontal="left"/>
    </xf>
    <xf numFmtId="164" fontId="2" fillId="0" borderId="0" xfId="1" applyFont="1"/>
    <xf numFmtId="164" fontId="2" fillId="0" borderId="0" xfId="1" applyFont="1" applyAlignment="1">
      <alignment horizontal="center"/>
    </xf>
    <xf numFmtId="164" fontId="3" fillId="0" borderId="0" xfId="1" applyFont="1"/>
    <xf numFmtId="164" fontId="6" fillId="0" borderId="0" xfId="1" applyFont="1"/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164" fontId="3" fillId="0" borderId="15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6" xfId="1" applyFont="1" applyBorder="1" applyAlignment="1">
      <alignment horizontal="center"/>
    </xf>
    <xf numFmtId="164" fontId="3" fillId="0" borderId="14" xfId="1" applyFont="1" applyBorder="1" applyAlignment="1">
      <alignment horizontal="center" vertical="center" wrapText="1"/>
    </xf>
    <xf numFmtId="164" fontId="3" fillId="0" borderId="15" xfId="1" applyFont="1" applyBorder="1" applyAlignment="1">
      <alignment horizontal="center" vertical="center" wrapText="1"/>
    </xf>
    <xf numFmtId="164" fontId="3" fillId="0" borderId="0" xfId="1" applyFont="1" applyAlignment="1">
      <alignment vertical="center" wrapText="1"/>
    </xf>
    <xf numFmtId="164" fontId="2" fillId="0" borderId="15" xfId="1" applyFont="1" applyBorder="1" applyAlignment="1">
      <alignment horizontal="center"/>
    </xf>
    <xf numFmtId="164" fontId="2" fillId="0" borderId="27" xfId="1" applyFont="1" applyBorder="1" applyAlignment="1">
      <alignment horizontal="center"/>
    </xf>
    <xf numFmtId="164" fontId="3" fillId="0" borderId="16" xfId="1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164" fontId="3" fillId="0" borderId="18" xfId="1" applyFont="1" applyBorder="1" applyAlignment="1">
      <alignment horizontal="center"/>
    </xf>
    <xf numFmtId="164" fontId="3" fillId="0" borderId="0" xfId="1" applyFont="1" applyAlignment="1">
      <alignment horizontal="center"/>
    </xf>
    <xf numFmtId="164" fontId="2" fillId="0" borderId="13" xfId="1" applyFont="1" applyBorder="1"/>
    <xf numFmtId="164" fontId="2" fillId="0" borderId="14" xfId="1" applyFont="1" applyBorder="1"/>
    <xf numFmtId="164" fontId="2" fillId="0" borderId="14" xfId="1" applyFont="1" applyBorder="1" applyAlignment="1">
      <alignment horizontal="center"/>
    </xf>
    <xf numFmtId="164" fontId="2" fillId="0" borderId="15" xfId="1" applyFont="1" applyBorder="1"/>
    <xf numFmtId="164" fontId="2" fillId="0" borderId="1" xfId="1" applyFont="1" applyBorder="1"/>
    <xf numFmtId="164" fontId="2" fillId="0" borderId="6" xfId="1" applyFont="1" applyBorder="1"/>
    <xf numFmtId="164" fontId="2" fillId="0" borderId="7" xfId="1" applyFont="1" applyBorder="1"/>
    <xf numFmtId="164" fontId="2" fillId="0" borderId="8" xfId="1" applyFont="1" applyBorder="1"/>
    <xf numFmtId="164" fontId="2" fillId="0" borderId="8" xfId="1" applyFont="1" applyBorder="1" applyAlignment="1">
      <alignment horizontal="center"/>
    </xf>
    <xf numFmtId="164" fontId="2" fillId="0" borderId="9" xfId="1" applyFont="1" applyBorder="1"/>
    <xf numFmtId="164" fontId="3" fillId="0" borderId="3" xfId="1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164" fontId="3" fillId="0" borderId="18" xfId="1" applyFont="1" applyBorder="1" applyAlignment="1"/>
    <xf numFmtId="164" fontId="3" fillId="0" borderId="26" xfId="1" applyFont="1" applyBorder="1" applyAlignment="1">
      <alignment horizontal="right"/>
    </xf>
    <xf numFmtId="164" fontId="3" fillId="0" borderId="0" xfId="1" applyFont="1" applyBorder="1" applyAlignment="1">
      <alignment horizontal="right"/>
    </xf>
    <xf numFmtId="164" fontId="3" fillId="0" borderId="22" xfId="1" applyFont="1" applyBorder="1" applyAlignment="1">
      <alignment horizontal="right"/>
    </xf>
    <xf numFmtId="164" fontId="7" fillId="0" borderId="19" xfId="1" applyFont="1" applyBorder="1" applyAlignment="1"/>
    <xf numFmtId="164" fontId="7" fillId="0" borderId="29" xfId="1" applyFont="1" applyBorder="1" applyAlignment="1"/>
    <xf numFmtId="164" fontId="7" fillId="0" borderId="19" xfId="1" applyFont="1" applyBorder="1" applyAlignment="1">
      <alignment wrapText="1"/>
    </xf>
    <xf numFmtId="164" fontId="2" fillId="0" borderId="20" xfId="1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3" fillId="0" borderId="14" xfId="1" applyFont="1" applyBorder="1" applyAlignment="1">
      <alignment horizontal="center" vertical="center" wrapText="1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3" fillId="0" borderId="3" xfId="1" applyFont="1" applyBorder="1" applyAlignment="1">
      <alignment horizontal="center" vertical="center" wrapText="1"/>
    </xf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164" fontId="6" fillId="0" borderId="25" xfId="1" applyFont="1" applyBorder="1" applyAlignment="1">
      <alignment horizontal="center"/>
    </xf>
    <xf numFmtId="164" fontId="6" fillId="0" borderId="9" xfId="1" applyFont="1" applyBorder="1" applyAlignment="1">
      <alignment horizontal="center"/>
    </xf>
    <xf numFmtId="164" fontId="6" fillId="0" borderId="20" xfId="1" applyFont="1" applyBorder="1" applyAlignment="1">
      <alignment wrapText="1"/>
    </xf>
    <xf numFmtId="164" fontId="6" fillId="0" borderId="6" xfId="1" applyFont="1" applyBorder="1" applyAlignment="1">
      <alignment horizontal="center"/>
    </xf>
    <xf numFmtId="164" fontId="6" fillId="0" borderId="20" xfId="1" applyFont="1" applyBorder="1" applyAlignment="1"/>
    <xf numFmtId="164" fontId="6" fillId="0" borderId="30" xfId="1" applyFont="1" applyBorder="1" applyAlignment="1"/>
    <xf numFmtId="164" fontId="7" fillId="0" borderId="14" xfId="1" applyFont="1" applyBorder="1"/>
    <xf numFmtId="164" fontId="7" fillId="0" borderId="6" xfId="1" applyFont="1" applyBorder="1"/>
    <xf numFmtId="164" fontId="3" fillId="0" borderId="14" xfId="1" applyFont="1" applyBorder="1" applyAlignment="1">
      <alignment horizontal="left"/>
    </xf>
    <xf numFmtId="164" fontId="7" fillId="0" borderId="0" xfId="1" applyFont="1"/>
    <xf numFmtId="164" fontId="7" fillId="0" borderId="0" xfId="1" applyFont="1" applyAlignment="1">
      <alignment horizontal="center"/>
    </xf>
    <xf numFmtId="164" fontId="7" fillId="0" borderId="28" xfId="1" applyFont="1" applyBorder="1" applyAlignment="1"/>
    <xf numFmtId="164" fontId="2" fillId="0" borderId="1" xfId="0" applyNumberFormat="1" applyFont="1" applyBorder="1" applyAlignment="1">
      <alignment horizontal="center"/>
    </xf>
    <xf numFmtId="164" fontId="6" fillId="0" borderId="20" xfId="1" applyFont="1" applyBorder="1" applyAlignment="1">
      <alignment vertical="center" wrapText="1"/>
    </xf>
    <xf numFmtId="164" fontId="6" fillId="0" borderId="6" xfId="1" applyFont="1" applyBorder="1" applyAlignment="1">
      <alignment horizontal="center" vertical="center"/>
    </xf>
    <xf numFmtId="164" fontId="2" fillId="0" borderId="0" xfId="1" applyFont="1" applyAlignment="1">
      <alignment vertical="center"/>
    </xf>
    <xf numFmtId="164" fontId="2" fillId="0" borderId="24" xfId="1" applyFont="1" applyBorder="1" applyAlignment="1">
      <alignment horizontal="center"/>
    </xf>
    <xf numFmtId="164" fontId="2" fillId="0" borderId="21" xfId="1" applyFont="1" applyBorder="1"/>
    <xf numFmtId="164" fontId="2" fillId="0" borderId="21" xfId="1" applyFont="1" applyBorder="1" applyAlignment="1">
      <alignment horizontal="center"/>
    </xf>
    <xf numFmtId="164" fontId="2" fillId="0" borderId="25" xfId="1" applyFont="1" applyBorder="1"/>
    <xf numFmtId="164" fontId="2" fillId="0" borderId="1" xfId="1" applyFont="1" applyBorder="1" applyAlignment="1"/>
    <xf numFmtId="164" fontId="2" fillId="0" borderId="6" xfId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3" fillId="0" borderId="3" xfId="1" applyFont="1" applyBorder="1" applyAlignment="1">
      <alignment horizontal="center" vertical="center" wrapText="1"/>
    </xf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20" xfId="1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3" fillId="0" borderId="14" xfId="1" applyFont="1" applyBorder="1" applyAlignment="1">
      <alignment horizontal="center" vertical="center" wrapText="1"/>
    </xf>
    <xf numFmtId="164" fontId="2" fillId="0" borderId="14" xfId="1" applyFont="1" applyBorder="1" applyAlignment="1">
      <alignment horizontal="left"/>
    </xf>
    <xf numFmtId="164" fontId="2" fillId="0" borderId="0" xfId="0" applyNumberFormat="1" applyFont="1"/>
    <xf numFmtId="0" fontId="2" fillId="0" borderId="2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64" fontId="3" fillId="0" borderId="25" xfId="1" applyFont="1" applyBorder="1"/>
    <xf numFmtId="164" fontId="2" fillId="0" borderId="21" xfId="1" applyFont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164" fontId="3" fillId="0" borderId="1" xfId="1" applyFont="1" applyBorder="1"/>
    <xf numFmtId="164" fontId="3" fillId="0" borderId="21" xfId="1" applyFont="1" applyBorder="1"/>
    <xf numFmtId="164" fontId="2" fillId="0" borderId="21" xfId="1" applyFont="1" applyBorder="1" applyAlignment="1">
      <alignment horizontal="right"/>
    </xf>
    <xf numFmtId="164" fontId="2" fillId="0" borderId="20" xfId="1" applyFont="1" applyBorder="1" applyAlignment="1">
      <alignment horizontal="center"/>
    </xf>
    <xf numFmtId="164" fontId="2" fillId="0" borderId="13" xfId="1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3" fillId="0" borderId="14" xfId="1" applyFont="1" applyBorder="1" applyAlignment="1">
      <alignment horizontal="center" vertical="center" wrapText="1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3" fillId="0" borderId="3" xfId="1" applyFont="1" applyBorder="1" applyAlignment="1">
      <alignment horizontal="center" vertical="center" wrapText="1"/>
    </xf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3" fillId="0" borderId="14" xfId="1" applyFont="1" applyBorder="1"/>
    <xf numFmtId="164" fontId="3" fillId="0" borderId="6" xfId="1" applyFont="1" applyBorder="1"/>
    <xf numFmtId="164" fontId="2" fillId="0" borderId="0" xfId="1" applyFont="1" applyBorder="1"/>
    <xf numFmtId="164" fontId="3" fillId="0" borderId="36" xfId="1" applyFont="1" applyBorder="1" applyAlignment="1">
      <alignment horizontal="center"/>
    </xf>
    <xf numFmtId="164" fontId="3" fillId="0" borderId="37" xfId="1" applyFont="1" applyBorder="1" applyAlignment="1">
      <alignment horizontal="left"/>
    </xf>
    <xf numFmtId="164" fontId="2" fillId="0" borderId="37" xfId="1" applyFont="1" applyBorder="1" applyAlignment="1">
      <alignment horizontal="center"/>
    </xf>
    <xf numFmtId="164" fontId="2" fillId="0" borderId="37" xfId="1" applyFont="1" applyBorder="1"/>
    <xf numFmtId="164" fontId="7" fillId="0" borderId="15" xfId="1" applyFont="1" applyBorder="1"/>
    <xf numFmtId="164" fontId="3" fillId="0" borderId="14" xfId="1" applyFont="1" applyBorder="1" applyAlignment="1">
      <alignment horizontal="center"/>
    </xf>
    <xf numFmtId="164" fontId="2" fillId="0" borderId="20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3" fillId="0" borderId="3" xfId="1" applyFont="1" applyBorder="1" applyAlignment="1">
      <alignment horizontal="center" vertical="center" wrapText="1"/>
    </xf>
    <xf numFmtId="164" fontId="3" fillId="0" borderId="14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6" fillId="0" borderId="19" xfId="2" applyFont="1" applyBorder="1" applyAlignment="1">
      <alignment wrapText="1"/>
    </xf>
    <xf numFmtId="9" fontId="6" fillId="0" borderId="19" xfId="2" applyFont="1" applyBorder="1" applyAlignment="1"/>
    <xf numFmtId="9" fontId="6" fillId="0" borderId="29" xfId="2" applyFont="1" applyBorder="1" applyAlignment="1"/>
    <xf numFmtId="9" fontId="6" fillId="0" borderId="38" xfId="2" applyFont="1" applyBorder="1" applyAlignment="1">
      <alignment horizontal="right"/>
    </xf>
    <xf numFmtId="9" fontId="6" fillId="0" borderId="19" xfId="2" applyFont="1" applyBorder="1" applyAlignment="1">
      <alignment vertical="center" wrapText="1"/>
    </xf>
    <xf numFmtId="9" fontId="6" fillId="0" borderId="19" xfId="2" applyFont="1" applyBorder="1" applyAlignment="1">
      <alignment horizontal="right" vertical="center" wrapText="1"/>
    </xf>
    <xf numFmtId="9" fontId="6" fillId="0" borderId="19" xfId="2" applyFont="1" applyBorder="1" applyAlignment="1">
      <alignment horizontal="right"/>
    </xf>
    <xf numFmtId="9" fontId="6" fillId="0" borderId="29" xfId="2" applyFont="1" applyBorder="1" applyAlignment="1">
      <alignment horizontal="right"/>
    </xf>
    <xf numFmtId="164" fontId="3" fillId="0" borderId="1" xfId="1" applyFont="1" applyBorder="1" applyAlignment="1">
      <alignment horizontal="left"/>
    </xf>
    <xf numFmtId="164" fontId="3" fillId="0" borderId="2" xfId="1" applyFont="1" applyBorder="1" applyAlignment="1">
      <alignment horizontal="center"/>
    </xf>
    <xf numFmtId="164" fontId="3" fillId="0" borderId="3" xfId="1" applyFont="1" applyBorder="1" applyAlignment="1">
      <alignment horizontal="center"/>
    </xf>
    <xf numFmtId="164" fontId="3" fillId="0" borderId="4" xfId="1" applyFont="1" applyBorder="1" applyAlignment="1">
      <alignment horizontal="center"/>
    </xf>
    <xf numFmtId="164" fontId="2" fillId="0" borderId="5" xfId="1" applyFont="1" applyBorder="1"/>
    <xf numFmtId="164" fontId="3" fillId="0" borderId="5" xfId="1" applyFont="1" applyBorder="1" applyAlignment="1">
      <alignment horizontal="center"/>
    </xf>
    <xf numFmtId="164" fontId="7" fillId="0" borderId="1" xfId="1" applyFont="1" applyBorder="1"/>
    <xf numFmtId="164" fontId="3" fillId="0" borderId="24" xfId="1" applyFont="1" applyBorder="1" applyAlignment="1">
      <alignment horizontal="center"/>
    </xf>
    <xf numFmtId="164" fontId="3" fillId="0" borderId="21" xfId="1" applyFont="1" applyBorder="1" applyAlignment="1">
      <alignment horizontal="left"/>
    </xf>
    <xf numFmtId="164" fontId="2" fillId="0" borderId="25" xfId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2" fillId="0" borderId="0" xfId="1" applyFont="1" applyAlignment="1">
      <alignment horizontal="center" vertical="center"/>
    </xf>
    <xf numFmtId="164" fontId="3" fillId="0" borderId="18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164" fontId="3" fillId="0" borderId="12" xfId="1" applyFont="1" applyBorder="1" applyAlignment="1">
      <alignment horizontal="center" vertical="center"/>
    </xf>
    <xf numFmtId="164" fontId="2" fillId="0" borderId="1" xfId="1" applyFont="1" applyBorder="1" applyAlignment="1">
      <alignment horizontal="left"/>
    </xf>
    <xf numFmtId="164" fontId="2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7" fillId="0" borderId="0" xfId="2" applyFont="1"/>
    <xf numFmtId="164" fontId="2" fillId="0" borderId="0" xfId="1" applyFont="1" applyBorder="1" applyAlignment="1">
      <alignment horizontal="center" vertical="center"/>
    </xf>
    <xf numFmtId="0" fontId="2" fillId="0" borderId="0" xfId="0" applyFont="1" applyBorder="1"/>
    <xf numFmtId="9" fontId="7" fillId="0" borderId="14" xfId="2" applyFont="1" applyBorder="1" applyAlignment="1">
      <alignment horizontal="center"/>
    </xf>
    <xf numFmtId="164" fontId="2" fillId="0" borderId="41" xfId="1" applyFont="1" applyBorder="1" applyAlignment="1">
      <alignment horizontal="center" vertical="center"/>
    </xf>
    <xf numFmtId="9" fontId="7" fillId="0" borderId="42" xfId="2" applyFont="1" applyBorder="1" applyAlignment="1">
      <alignment horizontal="center"/>
    </xf>
    <xf numFmtId="9" fontId="7" fillId="0" borderId="13" xfId="2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3" fillId="0" borderId="23" xfId="1" applyFont="1" applyBorder="1" applyAlignment="1">
      <alignment horizontal="center"/>
    </xf>
    <xf numFmtId="164" fontId="7" fillId="0" borderId="15" xfId="1" applyFont="1" applyBorder="1" applyAlignment="1">
      <alignment horizontal="center"/>
    </xf>
    <xf numFmtId="164" fontId="5" fillId="0" borderId="20" xfId="1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164" fontId="5" fillId="0" borderId="1" xfId="1" applyFont="1" applyBorder="1"/>
    <xf numFmtId="164" fontId="5" fillId="0" borderId="6" xfId="1" applyFont="1" applyBorder="1" applyAlignment="1">
      <alignment horizontal="center"/>
    </xf>
    <xf numFmtId="164" fontId="2" fillId="0" borderId="0" xfId="1" applyFont="1" applyBorder="1" applyAlignment="1">
      <alignment horizontal="center"/>
    </xf>
    <xf numFmtId="164" fontId="3" fillId="4" borderId="9" xfId="1" applyFont="1" applyFill="1" applyBorder="1" applyAlignment="1">
      <alignment horizontal="center"/>
    </xf>
    <xf numFmtId="164" fontId="2" fillId="0" borderId="6" xfId="1" applyFont="1" applyFill="1" applyBorder="1" applyAlignment="1">
      <alignment horizontal="center"/>
    </xf>
    <xf numFmtId="164" fontId="3" fillId="4" borderId="46" xfId="1" applyFont="1" applyFill="1" applyBorder="1" applyAlignment="1">
      <alignment horizontal="center"/>
    </xf>
    <xf numFmtId="164" fontId="3" fillId="4" borderId="8" xfId="1" applyFont="1" applyFill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3" fillId="0" borderId="14" xfId="1" applyFont="1" applyBorder="1" applyAlignment="1">
      <alignment horizontal="center" vertical="center" wrapText="1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164" fontId="3" fillId="0" borderId="3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/>
    </xf>
    <xf numFmtId="164" fontId="3" fillId="0" borderId="47" xfId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64" fontId="3" fillId="0" borderId="0" xfId="0" applyNumberFormat="1" applyFont="1"/>
    <xf numFmtId="0" fontId="2" fillId="0" borderId="1" xfId="0" applyFont="1" applyFill="1" applyBorder="1" applyAlignment="1">
      <alignment vertical="center" wrapText="1"/>
    </xf>
    <xf numFmtId="164" fontId="5" fillId="0" borderId="48" xfId="0" applyNumberFormat="1" applyFont="1" applyBorder="1" applyAlignment="1">
      <alignment horizontal="center"/>
    </xf>
    <xf numFmtId="0" fontId="4" fillId="0" borderId="20" xfId="0" applyFont="1" applyBorder="1"/>
    <xf numFmtId="164" fontId="5" fillId="0" borderId="2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4" fillId="5" borderId="20" xfId="0" applyFont="1" applyFill="1" applyBorder="1"/>
    <xf numFmtId="0" fontId="2" fillId="5" borderId="1" xfId="0" applyFont="1" applyFill="1" applyBorder="1"/>
    <xf numFmtId="164" fontId="2" fillId="0" borderId="49" xfId="1" applyFont="1" applyBorder="1" applyAlignment="1">
      <alignment horizontal="center" vertical="center"/>
    </xf>
    <xf numFmtId="0" fontId="5" fillId="0" borderId="1" xfId="0" applyFont="1" applyBorder="1"/>
    <xf numFmtId="0" fontId="5" fillId="5" borderId="1" xfId="0" applyFont="1" applyFill="1" applyBorder="1"/>
    <xf numFmtId="0" fontId="5" fillId="5" borderId="20" xfId="0" applyFont="1" applyFill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/>
    <xf numFmtId="164" fontId="5" fillId="0" borderId="40" xfId="0" applyNumberFormat="1" applyFont="1" applyBorder="1" applyAlignment="1">
      <alignment horizontal="center"/>
    </xf>
    <xf numFmtId="0" fontId="5" fillId="0" borderId="40" xfId="0" applyFont="1" applyBorder="1"/>
    <xf numFmtId="164" fontId="2" fillId="0" borderId="47" xfId="1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7" fillId="0" borderId="0" xfId="1" applyFont="1" applyAlignment="1">
      <alignment horizontal="center" vertical="center"/>
    </xf>
    <xf numFmtId="4" fontId="5" fillId="0" borderId="14" xfId="0" applyNumberFormat="1" applyFont="1" applyBorder="1" applyAlignment="1">
      <alignment horizontal="right"/>
    </xf>
    <xf numFmtId="164" fontId="4" fillId="0" borderId="15" xfId="1" applyFont="1" applyBorder="1" applyAlignment="1">
      <alignment horizontal="center" vertical="center"/>
    </xf>
    <xf numFmtId="164" fontId="2" fillId="0" borderId="35" xfId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2" fillId="5" borderId="0" xfId="0" applyFont="1" applyFill="1"/>
    <xf numFmtId="164" fontId="5" fillId="5" borderId="0" xfId="0" applyNumberFormat="1" applyFont="1" applyFill="1"/>
    <xf numFmtId="164" fontId="2" fillId="5" borderId="0" xfId="1" applyFont="1" applyFill="1"/>
    <xf numFmtId="0" fontId="2" fillId="0" borderId="21" xfId="0" applyFont="1" applyBorder="1"/>
    <xf numFmtId="0" fontId="2" fillId="5" borderId="37" xfId="0" applyFont="1" applyFill="1" applyBorder="1"/>
    <xf numFmtId="0" fontId="2" fillId="0" borderId="14" xfId="0" applyFont="1" applyBorder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9" fontId="7" fillId="0" borderId="43" xfId="2" applyFont="1" applyBorder="1" applyAlignment="1">
      <alignment horizontal="center"/>
    </xf>
    <xf numFmtId="9" fontId="7" fillId="0" borderId="44" xfId="2" applyFont="1" applyBorder="1" applyAlignment="1">
      <alignment horizontal="center"/>
    </xf>
    <xf numFmtId="9" fontId="7" fillId="0" borderId="45" xfId="2" applyFont="1" applyBorder="1" applyAlignment="1">
      <alignment horizontal="center"/>
    </xf>
    <xf numFmtId="0" fontId="3" fillId="0" borderId="31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164" fontId="3" fillId="0" borderId="10" xfId="1" applyFont="1" applyBorder="1" applyAlignment="1">
      <alignment horizontal="right"/>
    </xf>
    <xf numFmtId="164" fontId="3" fillId="0" borderId="11" xfId="1" applyFont="1" applyBorder="1" applyAlignment="1">
      <alignment horizontal="right"/>
    </xf>
    <xf numFmtId="164" fontId="3" fillId="0" borderId="23" xfId="1" applyFont="1" applyBorder="1" applyAlignment="1">
      <alignment horizontal="right"/>
    </xf>
    <xf numFmtId="164" fontId="3" fillId="0" borderId="16" xfId="1" applyFont="1" applyBorder="1" applyAlignment="1">
      <alignment horizontal="right"/>
    </xf>
    <xf numFmtId="164" fontId="3" fillId="0" borderId="17" xfId="1" applyFont="1" applyBorder="1" applyAlignment="1">
      <alignment horizontal="right"/>
    </xf>
    <xf numFmtId="164" fontId="3" fillId="0" borderId="13" xfId="1" applyFont="1" applyBorder="1" applyAlignment="1">
      <alignment horizontal="center" vertical="center" wrapText="1"/>
    </xf>
    <xf numFmtId="164" fontId="3" fillId="0" borderId="14" xfId="1" applyFont="1" applyBorder="1" applyAlignment="1">
      <alignment horizontal="center" vertical="center" wrapText="1"/>
    </xf>
    <xf numFmtId="164" fontId="2" fillId="0" borderId="5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7" fillId="0" borderId="28" xfId="1" applyFont="1" applyBorder="1" applyAlignment="1">
      <alignment horizontal="left"/>
    </xf>
    <xf numFmtId="164" fontId="7" fillId="0" borderId="19" xfId="1" applyFont="1" applyBorder="1" applyAlignment="1">
      <alignment horizontal="left"/>
    </xf>
    <xf numFmtId="164" fontId="2" fillId="0" borderId="13" xfId="1" applyFont="1" applyBorder="1" applyAlignment="1">
      <alignment horizontal="center"/>
    </xf>
    <xf numFmtId="164" fontId="2" fillId="0" borderId="14" xfId="1" applyFont="1" applyBorder="1" applyAlignment="1">
      <alignment horizontal="center"/>
    </xf>
    <xf numFmtId="164" fontId="7" fillId="0" borderId="39" xfId="1" applyFont="1" applyBorder="1" applyAlignment="1">
      <alignment horizontal="left"/>
    </xf>
    <xf numFmtId="164" fontId="7" fillId="0" borderId="40" xfId="1" applyFont="1" applyBorder="1" applyAlignment="1">
      <alignment horizontal="left"/>
    </xf>
    <xf numFmtId="164" fontId="7" fillId="0" borderId="31" xfId="1" applyFont="1" applyBorder="1" applyAlignment="1">
      <alignment horizontal="left"/>
    </xf>
    <xf numFmtId="164" fontId="7" fillId="0" borderId="29" xfId="1" applyFont="1" applyBorder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8" xfId="1" applyFont="1" applyBorder="1" applyAlignment="1">
      <alignment horizontal="right"/>
    </xf>
    <xf numFmtId="164" fontId="7" fillId="2" borderId="16" xfId="1" applyFont="1" applyFill="1" applyBorder="1" applyAlignment="1">
      <alignment horizontal="left"/>
    </xf>
    <xf numFmtId="164" fontId="7" fillId="2" borderId="17" xfId="1" applyFont="1" applyFill="1" applyBorder="1" applyAlignment="1">
      <alignment horizontal="left"/>
    </xf>
    <xf numFmtId="164" fontId="7" fillId="2" borderId="18" xfId="1" applyFont="1" applyFill="1" applyBorder="1" applyAlignment="1">
      <alignment horizontal="left"/>
    </xf>
    <xf numFmtId="164" fontId="6" fillId="0" borderId="24" xfId="1" applyFont="1" applyBorder="1" applyAlignment="1">
      <alignment horizontal="right"/>
    </xf>
    <xf numFmtId="164" fontId="6" fillId="0" borderId="21" xfId="1" applyFont="1" applyBorder="1" applyAlignment="1">
      <alignment horizontal="right"/>
    </xf>
    <xf numFmtId="164" fontId="3" fillId="0" borderId="13" xfId="1" applyFont="1" applyBorder="1" applyAlignment="1">
      <alignment horizontal="center"/>
    </xf>
    <xf numFmtId="164" fontId="3" fillId="0" borderId="14" xfId="1" applyFont="1" applyBorder="1" applyAlignment="1">
      <alignment horizontal="center"/>
    </xf>
    <xf numFmtId="164" fontId="2" fillId="0" borderId="5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164" fontId="2" fillId="0" borderId="28" xfId="1" applyFont="1" applyBorder="1" applyAlignment="1">
      <alignment horizontal="center"/>
    </xf>
    <xf numFmtId="164" fontId="2" fillId="0" borderId="20" xfId="1" applyFont="1" applyBorder="1" applyAlignment="1">
      <alignment horizontal="center"/>
    </xf>
    <xf numFmtId="164" fontId="3" fillId="0" borderId="2" xfId="1" applyFont="1" applyBorder="1" applyAlignment="1">
      <alignment horizontal="center" vertical="center" wrapText="1"/>
    </xf>
    <xf numFmtId="164" fontId="3" fillId="0" borderId="3" xfId="1" applyFont="1" applyBorder="1" applyAlignment="1">
      <alignment horizontal="center" vertical="center" wrapText="1"/>
    </xf>
    <xf numFmtId="164" fontId="2" fillId="0" borderId="28" xfId="1" applyFont="1" applyBorder="1" applyAlignment="1">
      <alignment horizontal="center" wrapText="1"/>
    </xf>
    <xf numFmtId="164" fontId="2" fillId="0" borderId="20" xfId="1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4" fontId="7" fillId="2" borderId="32" xfId="1" applyFont="1" applyFill="1" applyBorder="1" applyAlignment="1">
      <alignment horizontal="left"/>
    </xf>
    <xf numFmtId="164" fontId="7" fillId="2" borderId="33" xfId="1" applyFont="1" applyFill="1" applyBorder="1" applyAlignment="1">
      <alignment horizontal="left"/>
    </xf>
    <xf numFmtId="164" fontId="7" fillId="2" borderId="34" xfId="1" applyFont="1" applyFill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64" fontId="2" fillId="0" borderId="28" xfId="1" applyFont="1" applyBorder="1" applyAlignment="1">
      <alignment horizontal="center" vertical="center" wrapText="1"/>
    </xf>
    <xf numFmtId="164" fontId="2" fillId="0" borderId="20" xfId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00"/>
  </sheetPr>
  <dimension ref="B3:AR39"/>
  <sheetViews>
    <sheetView zoomScale="70" zoomScaleNormal="70" workbookViewId="0">
      <selection activeCell="C28" sqref="C28"/>
    </sheetView>
  </sheetViews>
  <sheetFormatPr defaultColWidth="8.7109375" defaultRowHeight="14.25" x14ac:dyDescent="0.2"/>
  <cols>
    <col min="1" max="1" width="8.7109375" style="1"/>
    <col min="2" max="2" width="13.7109375" style="2" customWidth="1"/>
    <col min="3" max="3" width="37" style="1" customWidth="1"/>
    <col min="4" max="6" width="12.5703125" style="2" customWidth="1"/>
    <col min="7" max="7" width="19" style="153" customWidth="1"/>
    <col min="8" max="10" width="19" style="2" customWidth="1"/>
    <col min="11" max="13" width="19" style="22" customWidth="1"/>
    <col min="14" max="14" width="19" style="21" customWidth="1"/>
    <col min="15" max="15" width="19" style="22" customWidth="1"/>
    <col min="16" max="18" width="19" style="1" customWidth="1"/>
    <col min="19" max="16384" width="8.7109375" style="1"/>
  </cols>
  <sheetData>
    <row r="3" spans="2:15" x14ac:dyDescent="0.2">
      <c r="B3" s="7" t="s">
        <v>0</v>
      </c>
      <c r="C3" s="1" t="s">
        <v>8</v>
      </c>
    </row>
    <row r="4" spans="2:15" x14ac:dyDescent="0.2">
      <c r="B4" s="7" t="s">
        <v>1</v>
      </c>
      <c r="C4" s="1" t="s">
        <v>9</v>
      </c>
    </row>
    <row r="5" spans="2:15" ht="15" thickBot="1" x14ac:dyDescent="0.25">
      <c r="B5" s="7"/>
    </row>
    <row r="6" spans="2:15" ht="21" customHeight="1" thickBot="1" x14ac:dyDescent="0.35">
      <c r="B6" s="227" t="s">
        <v>218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9"/>
    </row>
    <row r="7" spans="2:15" s="19" customFormat="1" ht="14.65" customHeight="1" thickBot="1" x14ac:dyDescent="0.3">
      <c r="B7" s="10" t="s">
        <v>10</v>
      </c>
      <c r="C7" s="11" t="s">
        <v>2</v>
      </c>
      <c r="D7" s="11" t="s">
        <v>4</v>
      </c>
      <c r="E7" s="11" t="s">
        <v>5</v>
      </c>
      <c r="F7" s="11" t="s">
        <v>6</v>
      </c>
      <c r="G7" s="154" t="s">
        <v>7</v>
      </c>
      <c r="H7" s="10" t="s">
        <v>213</v>
      </c>
      <c r="I7" s="11" t="s">
        <v>50</v>
      </c>
      <c r="J7" s="11" t="s">
        <v>54</v>
      </c>
      <c r="K7" s="171" t="s">
        <v>214</v>
      </c>
      <c r="L7" s="37" t="s">
        <v>215</v>
      </c>
      <c r="M7" s="37" t="s">
        <v>216</v>
      </c>
      <c r="N7" s="37" t="s">
        <v>221</v>
      </c>
      <c r="O7" s="38" t="s">
        <v>217</v>
      </c>
    </row>
    <row r="8" spans="2:15" s="160" customFormat="1" ht="14.65" customHeight="1" x14ac:dyDescent="0.2">
      <c r="B8" s="230" t="s">
        <v>220</v>
      </c>
      <c r="C8" s="231"/>
      <c r="D8" s="231"/>
      <c r="E8" s="231"/>
      <c r="F8" s="231"/>
      <c r="G8" s="232"/>
      <c r="H8" s="166"/>
      <c r="I8" s="163"/>
      <c r="J8" s="163"/>
      <c r="K8" s="165">
        <v>0.01</v>
      </c>
      <c r="L8" s="163">
        <v>0.12</v>
      </c>
      <c r="M8" s="163">
        <v>0.08</v>
      </c>
      <c r="N8" s="163">
        <v>0.05</v>
      </c>
      <c r="O8" s="172"/>
    </row>
    <row r="9" spans="2:15" s="15" customFormat="1" ht="15" x14ac:dyDescent="0.25">
      <c r="B9" s="12" t="s">
        <v>11</v>
      </c>
      <c r="C9" s="13" t="s">
        <v>13</v>
      </c>
      <c r="D9" s="14"/>
      <c r="E9" s="14"/>
      <c r="F9" s="14"/>
      <c r="G9" s="155"/>
      <c r="H9" s="167"/>
      <c r="I9" s="18"/>
      <c r="J9" s="18"/>
      <c r="K9" s="173"/>
      <c r="L9" s="174"/>
      <c r="M9" s="174"/>
      <c r="N9" s="175"/>
      <c r="O9" s="176"/>
    </row>
    <row r="10" spans="2:15" x14ac:dyDescent="0.2">
      <c r="B10" s="131" t="s">
        <v>14</v>
      </c>
      <c r="C10" s="3" t="s">
        <v>16</v>
      </c>
      <c r="D10" s="79">
        <f>+I.1!C11</f>
        <v>6</v>
      </c>
      <c r="E10" s="79" t="str">
        <f>+I.1!E11</f>
        <v>months</v>
      </c>
      <c r="F10" s="79">
        <f>+I.1!G42</f>
        <v>4200</v>
      </c>
      <c r="G10" s="88">
        <f>+D10*F10</f>
        <v>25200</v>
      </c>
      <c r="H10" s="168">
        <f>+I.1!G21</f>
        <v>24000</v>
      </c>
      <c r="I10" s="79">
        <f>+I.1!G27</f>
        <v>0</v>
      </c>
      <c r="J10" s="79">
        <f>+I.1!G32</f>
        <v>0</v>
      </c>
      <c r="K10" s="127">
        <v>0</v>
      </c>
      <c r="L10" s="128">
        <v>0</v>
      </c>
      <c r="M10" s="128">
        <v>0</v>
      </c>
      <c r="N10" s="44">
        <f>+SUM(H10:J10,L10:M10)*$N$8</f>
        <v>1200</v>
      </c>
      <c r="O10" s="30">
        <f>+SUM(H10:N10)</f>
        <v>25200</v>
      </c>
    </row>
    <row r="11" spans="2:15" x14ac:dyDescent="0.2">
      <c r="B11" s="131" t="s">
        <v>15</v>
      </c>
      <c r="C11" s="3" t="s">
        <v>17</v>
      </c>
      <c r="D11" s="79">
        <f>+I.2!C11</f>
        <v>1</v>
      </c>
      <c r="E11" s="79" t="str">
        <f>+I.2!E11</f>
        <v>lot</v>
      </c>
      <c r="F11" s="79">
        <f>+I.2!G41</f>
        <v>12600</v>
      </c>
      <c r="G11" s="88">
        <f t="shared" ref="G11:G31" si="0">+D11*F11</f>
        <v>12600</v>
      </c>
      <c r="H11" s="168">
        <f>+I.2!G21</f>
        <v>10000</v>
      </c>
      <c r="I11" s="79">
        <f>+I.2!G27</f>
        <v>0</v>
      </c>
      <c r="J11" s="79">
        <f>+I.2!G31</f>
        <v>0</v>
      </c>
      <c r="K11" s="127">
        <v>0</v>
      </c>
      <c r="L11" s="128">
        <f t="shared" ref="L11" si="1">+SUM(H11:J11)*$L$8</f>
        <v>1200</v>
      </c>
      <c r="M11" s="128">
        <f t="shared" ref="M11" si="2">+SUM(H11:J11)*$M$8</f>
        <v>800</v>
      </c>
      <c r="N11" s="44">
        <f t="shared" ref="N11:N31" si="3">+SUM(H11:J11,L11:M11)*$N$8</f>
        <v>600</v>
      </c>
      <c r="O11" s="30">
        <f t="shared" ref="O11:O31" si="4">+SUM(H11:N11)</f>
        <v>12600</v>
      </c>
    </row>
    <row r="12" spans="2:15" s="15" customFormat="1" ht="15" x14ac:dyDescent="0.25">
      <c r="B12" s="16" t="s">
        <v>12</v>
      </c>
      <c r="C12" s="17" t="s">
        <v>18</v>
      </c>
      <c r="D12" s="18"/>
      <c r="E12" s="18"/>
      <c r="F12" s="18"/>
      <c r="G12" s="88">
        <f t="shared" si="0"/>
        <v>0</v>
      </c>
      <c r="H12" s="167"/>
      <c r="I12" s="18"/>
      <c r="J12" s="18"/>
      <c r="K12" s="127">
        <f t="shared" ref="K12:K31" si="5">+SUM(H12:J12)*$K$8</f>
        <v>0</v>
      </c>
      <c r="L12" s="128">
        <f t="shared" ref="L12:L31" si="6">+SUM(H12:J12)*$L$8</f>
        <v>0</v>
      </c>
      <c r="M12" s="128">
        <f t="shared" ref="M12:M31" si="7">+SUM(H12:J12)*$M$8</f>
        <v>0</v>
      </c>
      <c r="N12" s="44">
        <f t="shared" si="3"/>
        <v>0</v>
      </c>
      <c r="O12" s="30">
        <f t="shared" si="4"/>
        <v>0</v>
      </c>
    </row>
    <row r="13" spans="2:15" x14ac:dyDescent="0.2">
      <c r="B13" s="131" t="s">
        <v>21</v>
      </c>
      <c r="C13" s="3" t="s">
        <v>189</v>
      </c>
      <c r="D13" s="79">
        <f>+II.1!C11</f>
        <v>1</v>
      </c>
      <c r="E13" s="79" t="str">
        <f>+II.1!E11</f>
        <v>lot</v>
      </c>
      <c r="F13" s="79">
        <f>+II.1!G42</f>
        <v>31750</v>
      </c>
      <c r="G13" s="88">
        <f t="shared" si="0"/>
        <v>31750</v>
      </c>
      <c r="H13" s="168">
        <f>+II.1!G21</f>
        <v>0</v>
      </c>
      <c r="I13" s="79">
        <f>+II.1!G27</f>
        <v>2000</v>
      </c>
      <c r="J13" s="79">
        <f>+II.1!G32</f>
        <v>23000</v>
      </c>
      <c r="K13" s="127">
        <f t="shared" si="5"/>
        <v>250</v>
      </c>
      <c r="L13" s="128">
        <f t="shared" si="6"/>
        <v>3000</v>
      </c>
      <c r="M13" s="128">
        <f t="shared" si="7"/>
        <v>2000</v>
      </c>
      <c r="N13" s="44">
        <f t="shared" si="3"/>
        <v>1500</v>
      </c>
      <c r="O13" s="30">
        <f t="shared" si="4"/>
        <v>31750</v>
      </c>
    </row>
    <row r="14" spans="2:15" x14ac:dyDescent="0.2">
      <c r="B14" s="131" t="s">
        <v>22</v>
      </c>
      <c r="C14" s="3" t="s">
        <v>33</v>
      </c>
      <c r="D14" s="79">
        <f>+II.2!C11</f>
        <v>91.998900000000006</v>
      </c>
      <c r="E14" s="79" t="str">
        <f>+II.2!E11</f>
        <v>sq.m.</v>
      </c>
      <c r="F14" s="79">
        <f>+II.2!G46</f>
        <v>746.11499165913938</v>
      </c>
      <c r="G14" s="88">
        <f t="shared" si="0"/>
        <v>68641.758506149999</v>
      </c>
      <c r="H14" s="168">
        <f>+II.2!G21</f>
        <v>0</v>
      </c>
      <c r="I14" s="79">
        <f>+II.2!G29</f>
        <v>32900</v>
      </c>
      <c r="J14" s="79">
        <f>+II.2!G36</f>
        <v>21148.628744999998</v>
      </c>
      <c r="K14" s="127">
        <f t="shared" si="5"/>
        <v>540.48628744999996</v>
      </c>
      <c r="L14" s="128">
        <f t="shared" si="6"/>
        <v>6485.8354493999987</v>
      </c>
      <c r="M14" s="128">
        <f t="shared" si="7"/>
        <v>4323.8902995999997</v>
      </c>
      <c r="N14" s="44">
        <f t="shared" si="3"/>
        <v>3242.9177247000002</v>
      </c>
      <c r="O14" s="30">
        <f t="shared" si="4"/>
        <v>68641.758506149999</v>
      </c>
    </row>
    <row r="15" spans="2:15" x14ac:dyDescent="0.2">
      <c r="B15" s="131" t="s">
        <v>23</v>
      </c>
      <c r="C15" s="3" t="s">
        <v>19</v>
      </c>
      <c r="D15" s="79">
        <f>+II.3!C11</f>
        <v>173.26080000000002</v>
      </c>
      <c r="E15" s="79" t="str">
        <f>+II.3!E11</f>
        <v>cu.m.</v>
      </c>
      <c r="F15" s="79">
        <f>+II.3!G44</f>
        <v>948.26666666666677</v>
      </c>
      <c r="G15" s="88">
        <f t="shared" si="0"/>
        <v>164297.44128000003</v>
      </c>
      <c r="H15" s="168">
        <f>+II.3!G21</f>
        <v>0</v>
      </c>
      <c r="I15" s="79">
        <f>+II.3!G27</f>
        <v>25411.583999999999</v>
      </c>
      <c r="J15" s="79">
        <f>+II.3!G34</f>
        <v>103956.48000000001</v>
      </c>
      <c r="K15" s="127">
        <f t="shared" si="5"/>
        <v>1293.6806400000003</v>
      </c>
      <c r="L15" s="128">
        <f t="shared" si="6"/>
        <v>15524.16768</v>
      </c>
      <c r="M15" s="128">
        <f t="shared" si="7"/>
        <v>10349.445120000002</v>
      </c>
      <c r="N15" s="44">
        <f t="shared" si="3"/>
        <v>7762.0838400000011</v>
      </c>
      <c r="O15" s="30">
        <f t="shared" si="4"/>
        <v>164297.44128000003</v>
      </c>
    </row>
    <row r="16" spans="2:15" x14ac:dyDescent="0.2">
      <c r="B16" s="131" t="s">
        <v>24</v>
      </c>
      <c r="C16" s="3" t="s">
        <v>20</v>
      </c>
      <c r="D16" s="79">
        <f>+II.4!C11</f>
        <v>170.38080000000002</v>
      </c>
      <c r="E16" s="79" t="str">
        <f>+II.4!E11</f>
        <v>cu.m.</v>
      </c>
      <c r="F16" s="79">
        <f>+II.4!G45</f>
        <v>716.84444444444443</v>
      </c>
      <c r="G16" s="88">
        <f t="shared" si="0"/>
        <v>122136.52992000002</v>
      </c>
      <c r="H16" s="168">
        <f>+II.4!G21</f>
        <v>0</v>
      </c>
      <c r="I16" s="79">
        <f>+II.4!G28</f>
        <v>28018.176000000007</v>
      </c>
      <c r="J16" s="79">
        <f>+II.4!G35</f>
        <v>68152.320000000007</v>
      </c>
      <c r="K16" s="127">
        <f t="shared" si="5"/>
        <v>961.70496000000014</v>
      </c>
      <c r="L16" s="128">
        <f t="shared" si="6"/>
        <v>11540.45952</v>
      </c>
      <c r="M16" s="128">
        <f t="shared" si="7"/>
        <v>7693.6396800000011</v>
      </c>
      <c r="N16" s="44">
        <f t="shared" si="3"/>
        <v>5770.229760000002</v>
      </c>
      <c r="O16" s="30">
        <f t="shared" si="4"/>
        <v>122136.52992000003</v>
      </c>
    </row>
    <row r="17" spans="2:15" x14ac:dyDescent="0.2">
      <c r="B17" s="131" t="s">
        <v>25</v>
      </c>
      <c r="C17" s="3" t="s">
        <v>39</v>
      </c>
      <c r="D17" s="79" t="e">
        <f>+#REF!</f>
        <v>#REF!</v>
      </c>
      <c r="E17" s="79" t="e">
        <f>+#REF!</f>
        <v>#REF!</v>
      </c>
      <c r="F17" s="79" t="e">
        <f>+#REF!</f>
        <v>#REF!</v>
      </c>
      <c r="G17" s="88" t="e">
        <f t="shared" si="0"/>
        <v>#REF!</v>
      </c>
      <c r="H17" s="168" t="e">
        <f>+#REF!</f>
        <v>#REF!</v>
      </c>
      <c r="I17" s="79" t="e">
        <f>+#REF!</f>
        <v>#REF!</v>
      </c>
      <c r="J17" s="79" t="e">
        <f>+#REF!</f>
        <v>#REF!</v>
      </c>
      <c r="K17" s="127" t="e">
        <f t="shared" si="5"/>
        <v>#REF!</v>
      </c>
      <c r="L17" s="128" t="e">
        <f t="shared" si="6"/>
        <v>#REF!</v>
      </c>
      <c r="M17" s="128" t="e">
        <f t="shared" si="7"/>
        <v>#REF!</v>
      </c>
      <c r="N17" s="44" t="e">
        <f t="shared" si="3"/>
        <v>#REF!</v>
      </c>
      <c r="O17" s="179" t="e">
        <f t="shared" si="4"/>
        <v>#REF!</v>
      </c>
    </row>
    <row r="18" spans="2:15" s="15" customFormat="1" ht="15" x14ac:dyDescent="0.25">
      <c r="B18" s="16" t="s">
        <v>26</v>
      </c>
      <c r="C18" s="17" t="s">
        <v>98</v>
      </c>
      <c r="D18" s="152">
        <f>+III.!C9</f>
        <v>6</v>
      </c>
      <c r="E18" s="152" t="str">
        <f>+III.!E9</f>
        <v>months</v>
      </c>
      <c r="F18" s="152">
        <f>+III.!G39</f>
        <v>15750</v>
      </c>
      <c r="G18" s="88">
        <f t="shared" si="0"/>
        <v>94500</v>
      </c>
      <c r="H18" s="169">
        <f>+III.!G19</f>
        <v>90000</v>
      </c>
      <c r="I18" s="152">
        <f>+III.!G24</f>
        <v>0</v>
      </c>
      <c r="J18" s="152">
        <f>+III.!G29</f>
        <v>0</v>
      </c>
      <c r="K18" s="127">
        <v>0</v>
      </c>
      <c r="L18" s="128">
        <v>0</v>
      </c>
      <c r="M18" s="128">
        <v>0</v>
      </c>
      <c r="N18" s="44">
        <f t="shared" si="3"/>
        <v>4500</v>
      </c>
      <c r="O18" s="179">
        <f t="shared" si="4"/>
        <v>94500</v>
      </c>
    </row>
    <row r="19" spans="2:15" s="15" customFormat="1" ht="15" x14ac:dyDescent="0.25">
      <c r="B19" s="16" t="s">
        <v>27</v>
      </c>
      <c r="C19" s="17" t="s">
        <v>28</v>
      </c>
      <c r="D19" s="18"/>
      <c r="E19" s="18"/>
      <c r="F19" s="18"/>
      <c r="G19" s="88">
        <f t="shared" si="0"/>
        <v>0</v>
      </c>
      <c r="H19" s="167"/>
      <c r="I19" s="18" t="s">
        <v>123</v>
      </c>
      <c r="J19" s="18"/>
      <c r="K19" s="127">
        <f t="shared" si="5"/>
        <v>0</v>
      </c>
      <c r="L19" s="128">
        <f t="shared" si="6"/>
        <v>0</v>
      </c>
      <c r="M19" s="128">
        <f t="shared" si="7"/>
        <v>0</v>
      </c>
      <c r="N19" s="44">
        <f t="shared" si="3"/>
        <v>0</v>
      </c>
      <c r="O19" s="30">
        <f t="shared" si="4"/>
        <v>0</v>
      </c>
    </row>
    <row r="20" spans="2:15" s="5" customFormat="1" ht="28.5" x14ac:dyDescent="0.2">
      <c r="B20" s="6" t="s">
        <v>29</v>
      </c>
      <c r="C20" s="4" t="s">
        <v>124</v>
      </c>
      <c r="D20" s="159">
        <f>+IV.1!C11</f>
        <v>1</v>
      </c>
      <c r="E20" s="89" t="str">
        <f>+IV.1!E11</f>
        <v>lot</v>
      </c>
      <c r="F20" s="158">
        <v>500000</v>
      </c>
      <c r="G20" s="88">
        <f t="shared" si="0"/>
        <v>500000</v>
      </c>
      <c r="H20" s="170">
        <f>+IV.1!G24</f>
        <v>1280000</v>
      </c>
      <c r="I20" s="89">
        <f>+IV.1!G32</f>
        <v>19000.788</v>
      </c>
      <c r="J20" s="89">
        <f>+IV.1!G40</f>
        <v>247500</v>
      </c>
      <c r="K20" s="127">
        <f t="shared" si="5"/>
        <v>15465.007879999999</v>
      </c>
      <c r="L20" s="128">
        <f t="shared" si="6"/>
        <v>185580.09456</v>
      </c>
      <c r="M20" s="128">
        <f t="shared" si="7"/>
        <v>123720.06303999999</v>
      </c>
      <c r="N20" s="44">
        <f t="shared" si="3"/>
        <v>92790.047279999999</v>
      </c>
      <c r="O20" s="30">
        <f t="shared" si="4"/>
        <v>1964056.0007599997</v>
      </c>
    </row>
    <row r="21" spans="2:15" s="5" customFormat="1" ht="28.5" x14ac:dyDescent="0.2">
      <c r="B21" s="6" t="s">
        <v>30</v>
      </c>
      <c r="C21" s="4" t="s">
        <v>103</v>
      </c>
      <c r="D21" s="89">
        <f>+IV.2!C11</f>
        <v>187.64622399999999</v>
      </c>
      <c r="E21" s="89" t="str">
        <f>+IV.2!E11</f>
        <v>cu.m.</v>
      </c>
      <c r="F21" s="89">
        <f>+IV.2!G49</f>
        <v>11706.502421228577</v>
      </c>
      <c r="G21" s="88">
        <f t="shared" si="0"/>
        <v>2196680.9755903999</v>
      </c>
      <c r="H21" s="170">
        <f>+IV.2!G23</f>
        <v>1255208.8595199999</v>
      </c>
      <c r="I21" s="89">
        <f>+IV.2!G31</f>
        <v>227711.2</v>
      </c>
      <c r="J21" s="89">
        <f>+IV.2!G39</f>
        <v>246750</v>
      </c>
      <c r="K21" s="127">
        <f t="shared" si="5"/>
        <v>17296.7005952</v>
      </c>
      <c r="L21" s="128">
        <f t="shared" si="6"/>
        <v>207560.40714239998</v>
      </c>
      <c r="M21" s="128">
        <f t="shared" si="7"/>
        <v>138373.6047616</v>
      </c>
      <c r="N21" s="44">
        <f t="shared" si="3"/>
        <v>103780.20357120001</v>
      </c>
      <c r="O21" s="30">
        <f t="shared" si="4"/>
        <v>2196680.9755903999</v>
      </c>
    </row>
    <row r="22" spans="2:15" x14ac:dyDescent="0.2">
      <c r="B22" s="131" t="s">
        <v>31</v>
      </c>
      <c r="C22" s="3" t="s">
        <v>32</v>
      </c>
      <c r="D22" s="79">
        <f>+IV.3!C11</f>
        <v>208.97520000000006</v>
      </c>
      <c r="E22" s="79" t="str">
        <f>+IV.3!E11</f>
        <v>sq.m.</v>
      </c>
      <c r="F22" s="79">
        <f>+IV.3!G46</f>
        <v>1276.4848790669894</v>
      </c>
      <c r="G22" s="88">
        <f t="shared" si="0"/>
        <v>266753.68290000001</v>
      </c>
      <c r="H22" s="168">
        <f>+IV.3!G22</f>
        <v>113870</v>
      </c>
      <c r="I22" s="79">
        <f>+IV.3!G28</f>
        <v>9970</v>
      </c>
      <c r="J22" s="79">
        <f>+IV.3!G36</f>
        <v>86202.270000000019</v>
      </c>
      <c r="K22" s="127">
        <f t="shared" si="5"/>
        <v>2100.4227000000001</v>
      </c>
      <c r="L22" s="128">
        <f t="shared" si="6"/>
        <v>25205.072400000001</v>
      </c>
      <c r="M22" s="128">
        <f t="shared" si="7"/>
        <v>16803.381600000001</v>
      </c>
      <c r="N22" s="44">
        <f t="shared" si="3"/>
        <v>12602.536200000002</v>
      </c>
      <c r="O22" s="30">
        <f t="shared" si="4"/>
        <v>266753.68290000001</v>
      </c>
    </row>
    <row r="23" spans="2:15" ht="15" x14ac:dyDescent="0.25">
      <c r="B23" s="8" t="s">
        <v>34</v>
      </c>
      <c r="C23" s="9" t="s">
        <v>125</v>
      </c>
      <c r="D23" s="132"/>
      <c r="E23" s="132"/>
      <c r="F23" s="132"/>
      <c r="G23" s="88">
        <f t="shared" si="0"/>
        <v>0</v>
      </c>
      <c r="H23" s="131"/>
      <c r="I23" s="132"/>
      <c r="J23" s="132"/>
      <c r="K23" s="127">
        <f t="shared" si="5"/>
        <v>0</v>
      </c>
      <c r="L23" s="128">
        <f t="shared" si="6"/>
        <v>0</v>
      </c>
      <c r="M23" s="128">
        <f t="shared" si="7"/>
        <v>0</v>
      </c>
      <c r="N23" s="44">
        <f t="shared" si="3"/>
        <v>0</v>
      </c>
      <c r="O23" s="30">
        <f t="shared" si="4"/>
        <v>0</v>
      </c>
    </row>
    <row r="24" spans="2:15" x14ac:dyDescent="0.2">
      <c r="B24" s="131" t="s">
        <v>36</v>
      </c>
      <c r="C24" s="3" t="s">
        <v>126</v>
      </c>
      <c r="D24" s="79">
        <f>+V.1!C11</f>
        <v>203.64750000000001</v>
      </c>
      <c r="E24" s="79" t="str">
        <f>+V.1!E11</f>
        <v>sq.m.</v>
      </c>
      <c r="F24" s="79">
        <f>+V.1!G48</f>
        <v>1155.3112662505064</v>
      </c>
      <c r="G24" s="88">
        <f t="shared" si="0"/>
        <v>235276.25109375</v>
      </c>
      <c r="H24" s="168">
        <f>+V.1!G24</f>
        <v>54050</v>
      </c>
      <c r="I24" s="79">
        <f>+V.1!G30</f>
        <v>5200</v>
      </c>
      <c r="J24" s="79">
        <f>+V.1!G38</f>
        <v>126006.890625</v>
      </c>
      <c r="K24" s="127">
        <f t="shared" si="5"/>
        <v>1852.5689062500001</v>
      </c>
      <c r="L24" s="128">
        <f t="shared" si="6"/>
        <v>22230.826874999999</v>
      </c>
      <c r="M24" s="128">
        <f t="shared" si="7"/>
        <v>14820.55125</v>
      </c>
      <c r="N24" s="44">
        <f t="shared" si="3"/>
        <v>11115.413437499999</v>
      </c>
      <c r="O24" s="30">
        <f t="shared" si="4"/>
        <v>235276.25109375</v>
      </c>
    </row>
    <row r="25" spans="2:15" x14ac:dyDescent="0.2">
      <c r="B25" s="131" t="s">
        <v>128</v>
      </c>
      <c r="C25" s="3" t="s">
        <v>127</v>
      </c>
      <c r="D25" s="79">
        <f>+V.2!C11</f>
        <v>269.32499999999999</v>
      </c>
      <c r="E25" s="79" t="str">
        <f>+V.2!E11</f>
        <v>sq.m.</v>
      </c>
      <c r="F25" s="79">
        <f>+V.2!G49</f>
        <v>1001.3560382437577</v>
      </c>
      <c r="G25" s="88">
        <f t="shared" si="0"/>
        <v>269690.21500000003</v>
      </c>
      <c r="H25" s="168">
        <f>+V.2!G25</f>
        <v>69250</v>
      </c>
      <c r="I25" s="79">
        <f>+V.2!G31</f>
        <v>2772</v>
      </c>
      <c r="J25" s="79">
        <f>+V.2!G39</f>
        <v>140332.5</v>
      </c>
      <c r="K25" s="127">
        <f t="shared" si="5"/>
        <v>2123.5450000000001</v>
      </c>
      <c r="L25" s="128">
        <f t="shared" si="6"/>
        <v>25482.54</v>
      </c>
      <c r="M25" s="128">
        <f t="shared" si="7"/>
        <v>16988.36</v>
      </c>
      <c r="N25" s="44">
        <f t="shared" si="3"/>
        <v>12741.270000000002</v>
      </c>
      <c r="O25" s="30">
        <f t="shared" si="4"/>
        <v>269690.21500000003</v>
      </c>
    </row>
    <row r="26" spans="2:15" x14ac:dyDescent="0.2">
      <c r="B26" s="131" t="s">
        <v>129</v>
      </c>
      <c r="C26" s="3" t="s">
        <v>32</v>
      </c>
      <c r="D26" s="79" t="e">
        <f>+#REF!</f>
        <v>#REF!</v>
      </c>
      <c r="E26" s="79" t="e">
        <f>+#REF!</f>
        <v>#REF!</v>
      </c>
      <c r="F26" s="79" t="e">
        <f>+#REF!</f>
        <v>#REF!</v>
      </c>
      <c r="G26" s="88" t="e">
        <f t="shared" si="0"/>
        <v>#REF!</v>
      </c>
      <c r="H26" s="168" t="e">
        <f>+#REF!</f>
        <v>#REF!</v>
      </c>
      <c r="I26" s="79" t="e">
        <f>+#REF!</f>
        <v>#REF!</v>
      </c>
      <c r="J26" s="79" t="e">
        <f>+#REF!</f>
        <v>#REF!</v>
      </c>
      <c r="K26" s="127" t="e">
        <f t="shared" si="5"/>
        <v>#REF!</v>
      </c>
      <c r="L26" s="128" t="e">
        <f t="shared" si="6"/>
        <v>#REF!</v>
      </c>
      <c r="M26" s="128" t="e">
        <f t="shared" si="7"/>
        <v>#REF!</v>
      </c>
      <c r="N26" s="44" t="e">
        <f t="shared" si="3"/>
        <v>#REF!</v>
      </c>
      <c r="O26" s="30" t="e">
        <f t="shared" si="4"/>
        <v>#REF!</v>
      </c>
    </row>
    <row r="27" spans="2:15" s="15" customFormat="1" ht="15" x14ac:dyDescent="0.25">
      <c r="B27" s="16" t="s">
        <v>35</v>
      </c>
      <c r="C27" s="17" t="s">
        <v>38</v>
      </c>
      <c r="D27" s="152">
        <f>+VI.!C9</f>
        <v>202.923</v>
      </c>
      <c r="E27" s="152" t="str">
        <f>+VI.!E9</f>
        <v>sq.m.</v>
      </c>
      <c r="F27" s="152">
        <f>+VI.!G49</f>
        <v>1527.0401442911846</v>
      </c>
      <c r="G27" s="88">
        <f t="shared" si="0"/>
        <v>309871.56720000005</v>
      </c>
      <c r="H27" s="169">
        <f>+VI.!G25</f>
        <v>160086.16</v>
      </c>
      <c r="I27" s="152">
        <f>+VI.!G31</f>
        <v>9657.2000000000007</v>
      </c>
      <c r="J27" s="152">
        <f>+VI.!G39</f>
        <v>74250</v>
      </c>
      <c r="K27" s="127">
        <f t="shared" si="5"/>
        <v>2439.9336000000003</v>
      </c>
      <c r="L27" s="128">
        <f t="shared" si="6"/>
        <v>29279.2032</v>
      </c>
      <c r="M27" s="128">
        <f t="shared" si="7"/>
        <v>19519.468800000002</v>
      </c>
      <c r="N27" s="44">
        <f t="shared" si="3"/>
        <v>14639.601600000002</v>
      </c>
      <c r="O27" s="30">
        <f t="shared" si="4"/>
        <v>309871.56719999999</v>
      </c>
    </row>
    <row r="28" spans="2:15" ht="15" x14ac:dyDescent="0.25">
      <c r="B28" s="8" t="s">
        <v>40</v>
      </c>
      <c r="C28" s="9" t="s">
        <v>37</v>
      </c>
      <c r="D28" s="132"/>
      <c r="E28" s="132"/>
      <c r="F28" s="132"/>
      <c r="G28" s="88">
        <f t="shared" si="0"/>
        <v>0</v>
      </c>
      <c r="H28" s="131"/>
      <c r="I28" s="132"/>
      <c r="J28" s="132"/>
      <c r="K28" s="127">
        <f t="shared" si="5"/>
        <v>0</v>
      </c>
      <c r="L28" s="128">
        <f t="shared" si="6"/>
        <v>0</v>
      </c>
      <c r="M28" s="128">
        <f t="shared" si="7"/>
        <v>0</v>
      </c>
      <c r="N28" s="44">
        <f t="shared" si="3"/>
        <v>0</v>
      </c>
      <c r="O28" s="30">
        <f t="shared" si="4"/>
        <v>0</v>
      </c>
    </row>
    <row r="29" spans="2:15" x14ac:dyDescent="0.2">
      <c r="B29" s="131" t="s">
        <v>186</v>
      </c>
      <c r="C29" s="3" t="s">
        <v>160</v>
      </c>
      <c r="D29" s="79">
        <f>+VII.1!C11</f>
        <v>219.60500000000002</v>
      </c>
      <c r="E29" s="79" t="str">
        <f>+VII.1!E11</f>
        <v>ln.m.</v>
      </c>
      <c r="F29" s="79">
        <f>+VII.1!G48</f>
        <v>821.68748434689542</v>
      </c>
      <c r="G29" s="88">
        <f t="shared" si="0"/>
        <v>180446.68</v>
      </c>
      <c r="H29" s="168">
        <f>+VII.1!G22</f>
        <v>54484</v>
      </c>
      <c r="I29" s="79">
        <f>+VII.1!G30</f>
        <v>28200</v>
      </c>
      <c r="J29" s="79">
        <f>+VII.1!G38</f>
        <v>59400</v>
      </c>
      <c r="K29" s="127">
        <f t="shared" si="5"/>
        <v>1420.84</v>
      </c>
      <c r="L29" s="128">
        <f t="shared" si="6"/>
        <v>17050.079999999998</v>
      </c>
      <c r="M29" s="128">
        <f t="shared" si="7"/>
        <v>11366.72</v>
      </c>
      <c r="N29" s="44">
        <f t="shared" si="3"/>
        <v>8525.0399999999991</v>
      </c>
      <c r="O29" s="30">
        <f t="shared" si="4"/>
        <v>180446.68</v>
      </c>
    </row>
    <row r="30" spans="2:15" x14ac:dyDescent="0.2">
      <c r="B30" s="131" t="s">
        <v>187</v>
      </c>
      <c r="C30" s="3" t="s">
        <v>181</v>
      </c>
      <c r="D30" s="79">
        <f>+VII.2!C11</f>
        <v>199.21671000000001</v>
      </c>
      <c r="E30" s="79" t="str">
        <f>+VII.2!E11</f>
        <v>sq.m.</v>
      </c>
      <c r="F30" s="79">
        <f>+VII.2!G47</f>
        <v>1329.4522432380293</v>
      </c>
      <c r="G30" s="88">
        <f t="shared" si="0"/>
        <v>264849.10199999996</v>
      </c>
      <c r="H30" s="168">
        <f>+VII.2!G23</f>
        <v>115875</v>
      </c>
      <c r="I30" s="79">
        <f>+VII.2!G29</f>
        <v>6000</v>
      </c>
      <c r="J30" s="79">
        <f>+VII.2!G37</f>
        <v>86667.599999999991</v>
      </c>
      <c r="K30" s="127">
        <f t="shared" si="5"/>
        <v>2085.4259999999999</v>
      </c>
      <c r="L30" s="128">
        <f t="shared" si="6"/>
        <v>25025.111999999997</v>
      </c>
      <c r="M30" s="128">
        <f t="shared" si="7"/>
        <v>16683.407999999999</v>
      </c>
      <c r="N30" s="44">
        <f t="shared" si="3"/>
        <v>12512.555999999999</v>
      </c>
      <c r="O30" s="30">
        <f t="shared" si="4"/>
        <v>264849.10199999996</v>
      </c>
    </row>
    <row r="31" spans="2:15" s="15" customFormat="1" ht="15.75" thickBot="1" x14ac:dyDescent="0.3">
      <c r="B31" s="16" t="s">
        <v>41</v>
      </c>
      <c r="C31" s="17" t="s">
        <v>200</v>
      </c>
      <c r="D31" s="152">
        <f>+VIII.!C9</f>
        <v>1</v>
      </c>
      <c r="E31" s="152" t="str">
        <f>+VIII.!E9</f>
        <v>lot</v>
      </c>
      <c r="F31" s="152">
        <f>+VIII.!G46</f>
        <v>381000</v>
      </c>
      <c r="G31" s="88">
        <f t="shared" si="0"/>
        <v>381000</v>
      </c>
      <c r="H31" s="169">
        <f>+VIII.!G22</f>
        <v>300000</v>
      </c>
      <c r="I31" s="152">
        <f>+VIII.!G28</f>
        <v>0</v>
      </c>
      <c r="J31" s="152">
        <f>+VIII.!G36</f>
        <v>0</v>
      </c>
      <c r="K31" s="127">
        <f t="shared" si="5"/>
        <v>3000</v>
      </c>
      <c r="L31" s="128">
        <f t="shared" si="6"/>
        <v>36000</v>
      </c>
      <c r="M31" s="128">
        <f t="shared" si="7"/>
        <v>24000</v>
      </c>
      <c r="N31" s="44">
        <f t="shared" si="3"/>
        <v>18000</v>
      </c>
      <c r="O31" s="30">
        <f t="shared" si="4"/>
        <v>381000</v>
      </c>
    </row>
    <row r="32" spans="2:15" ht="15.75" thickBot="1" x14ac:dyDescent="0.3">
      <c r="B32" s="225" t="s">
        <v>57</v>
      </c>
      <c r="C32" s="226"/>
      <c r="D32" s="226"/>
      <c r="E32" s="226"/>
      <c r="F32" s="226"/>
      <c r="G32" s="156" t="e">
        <f t="shared" ref="G32:O32" si="8">+SUM(G10:G31)</f>
        <v>#REF!</v>
      </c>
      <c r="H32" s="178" t="e">
        <f t="shared" si="8"/>
        <v>#REF!</v>
      </c>
      <c r="I32" s="178" t="e">
        <f t="shared" si="8"/>
        <v>#REF!</v>
      </c>
      <c r="J32" s="181" t="e">
        <f t="shared" si="8"/>
        <v>#REF!</v>
      </c>
      <c r="K32" s="180" t="e">
        <f t="shared" si="8"/>
        <v>#REF!</v>
      </c>
      <c r="L32" s="178" t="e">
        <f t="shared" si="8"/>
        <v>#REF!</v>
      </c>
      <c r="M32" s="178" t="e">
        <f t="shared" si="8"/>
        <v>#REF!</v>
      </c>
      <c r="N32" s="178" t="e">
        <f t="shared" si="8"/>
        <v>#REF!</v>
      </c>
      <c r="O32" s="178" t="e">
        <f t="shared" si="8"/>
        <v>#REF!</v>
      </c>
    </row>
    <row r="33" spans="7:44" x14ac:dyDescent="0.2">
      <c r="G33" s="164"/>
      <c r="H33" s="133"/>
      <c r="I33" s="133"/>
      <c r="J33" s="133"/>
      <c r="K33" s="177"/>
      <c r="L33" s="177"/>
      <c r="M33" s="177"/>
      <c r="N33" s="120"/>
      <c r="O33" s="177"/>
      <c r="P33" s="162"/>
    </row>
    <row r="34" spans="7:44" x14ac:dyDescent="0.2">
      <c r="G34" s="161"/>
      <c r="H34" s="133"/>
      <c r="I34" s="133"/>
      <c r="J34" s="133"/>
      <c r="K34" s="177"/>
      <c r="L34" s="177"/>
      <c r="M34" s="177"/>
      <c r="N34" s="120"/>
      <c r="O34" s="177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</row>
    <row r="35" spans="7:44" x14ac:dyDescent="0.2">
      <c r="G35" s="161"/>
      <c r="H35" s="133"/>
      <c r="I35" s="133"/>
      <c r="J35" s="133"/>
      <c r="K35" s="177"/>
      <c r="L35" s="177"/>
      <c r="M35" s="177"/>
      <c r="N35" s="120"/>
      <c r="O35" s="177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</row>
    <row r="36" spans="7:44" x14ac:dyDescent="0.2">
      <c r="G36" s="161"/>
      <c r="H36" s="133"/>
      <c r="I36" s="133"/>
      <c r="J36" s="133"/>
      <c r="K36" s="177"/>
      <c r="L36" s="177"/>
      <c r="M36" s="177"/>
      <c r="N36" s="120"/>
      <c r="O36" s="177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</row>
    <row r="37" spans="7:44" x14ac:dyDescent="0.2">
      <c r="G37" s="161"/>
      <c r="H37" s="133"/>
      <c r="I37" s="133"/>
      <c r="J37" s="133"/>
      <c r="K37" s="177"/>
      <c r="L37" s="177"/>
      <c r="M37" s="177"/>
      <c r="N37" s="120"/>
      <c r="O37" s="177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</row>
    <row r="38" spans="7:44" x14ac:dyDescent="0.2">
      <c r="G38" s="161"/>
      <c r="H38" s="133"/>
      <c r="I38" s="133"/>
      <c r="J38" s="133"/>
      <c r="K38" s="177"/>
      <c r="L38" s="177"/>
      <c r="M38" s="177"/>
      <c r="N38" s="120"/>
      <c r="O38" s="177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</row>
    <row r="39" spans="7:44" x14ac:dyDescent="0.2">
      <c r="G39" s="161"/>
      <c r="H39" s="133"/>
      <c r="I39" s="133"/>
      <c r="J39" s="133"/>
      <c r="K39" s="177"/>
      <c r="L39" s="177"/>
      <c r="M39" s="177"/>
      <c r="N39" s="120"/>
      <c r="O39" s="177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</row>
  </sheetData>
  <mergeCells count="3">
    <mergeCell ref="B32:F32"/>
    <mergeCell ref="B6:O6"/>
    <mergeCell ref="B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2"/>
  <sheetViews>
    <sheetView tabSelected="1" topLeftCell="A143" zoomScale="83" zoomScaleNormal="83" workbookViewId="0">
      <selection activeCell="G163" sqref="G163"/>
    </sheetView>
  </sheetViews>
  <sheetFormatPr defaultColWidth="8.7109375" defaultRowHeight="14.25" x14ac:dyDescent="0.2"/>
  <cols>
    <col min="1" max="1" width="8.7109375" style="1"/>
    <col min="2" max="2" width="13.7109375" style="2" customWidth="1"/>
    <col min="3" max="3" width="48" style="1" customWidth="1"/>
    <col min="4" max="5" width="12.5703125" style="2" customWidth="1"/>
    <col min="6" max="6" width="15" style="2" customWidth="1"/>
    <col min="7" max="7" width="19" style="153" customWidth="1"/>
    <col min="8" max="8" width="16.5703125" style="1" customWidth="1"/>
    <col min="9" max="10" width="8.7109375" style="1"/>
    <col min="11" max="11" width="15.7109375" style="1" bestFit="1" customWidth="1"/>
    <col min="12" max="16384" width="8.7109375" style="1"/>
  </cols>
  <sheetData>
    <row r="3" spans="2:7" x14ac:dyDescent="0.2">
      <c r="B3" s="7" t="s">
        <v>0</v>
      </c>
      <c r="C3" s="1" t="s">
        <v>284</v>
      </c>
    </row>
    <row r="4" spans="2:7" x14ac:dyDescent="0.2">
      <c r="B4" s="7" t="s">
        <v>1</v>
      </c>
      <c r="C4" s="1" t="s">
        <v>374</v>
      </c>
    </row>
    <row r="5" spans="2:7" x14ac:dyDescent="0.2">
      <c r="B5" s="7" t="s">
        <v>222</v>
      </c>
      <c r="C5" s="1" t="s">
        <v>223</v>
      </c>
    </row>
    <row r="6" spans="2:7" ht="15" thickBot="1" x14ac:dyDescent="0.25">
      <c r="B6" s="7"/>
    </row>
    <row r="7" spans="2:7" ht="21" customHeight="1" thickBot="1" x14ac:dyDescent="0.35">
      <c r="B7" s="227" t="s">
        <v>219</v>
      </c>
      <c r="C7" s="228"/>
      <c r="D7" s="228"/>
      <c r="E7" s="228"/>
      <c r="F7" s="228"/>
      <c r="G7" s="229"/>
    </row>
    <row r="8" spans="2:7" ht="14.65" customHeight="1" thickBot="1" x14ac:dyDescent="0.3">
      <c r="B8" s="10" t="s">
        <v>10</v>
      </c>
      <c r="C8" s="11" t="s">
        <v>2</v>
      </c>
      <c r="D8" s="11" t="s">
        <v>4</v>
      </c>
      <c r="E8" s="11" t="s">
        <v>5</v>
      </c>
      <c r="F8" s="11" t="s">
        <v>6</v>
      </c>
      <c r="G8" s="154" t="s">
        <v>7</v>
      </c>
    </row>
    <row r="9" spans="2:7" s="15" customFormat="1" ht="15" x14ac:dyDescent="0.25">
      <c r="B9" s="12" t="s">
        <v>11</v>
      </c>
      <c r="C9" s="13" t="s">
        <v>13</v>
      </c>
      <c r="D9" s="14"/>
      <c r="E9" s="14"/>
      <c r="F9" s="14"/>
      <c r="G9" s="155"/>
    </row>
    <row r="10" spans="2:7" s="15" customFormat="1" ht="15" x14ac:dyDescent="0.25">
      <c r="B10" s="199" t="s">
        <v>241</v>
      </c>
      <c r="C10" s="13" t="s">
        <v>242</v>
      </c>
      <c r="D10" s="79">
        <v>1</v>
      </c>
      <c r="E10" s="14" t="s">
        <v>97</v>
      </c>
      <c r="F10" s="215">
        <v>165000</v>
      </c>
      <c r="G10" s="216">
        <v>165000</v>
      </c>
    </row>
    <row r="11" spans="2:7" ht="15" x14ac:dyDescent="0.2">
      <c r="B11" s="131"/>
      <c r="C11" s="3" t="s">
        <v>245</v>
      </c>
      <c r="D11" s="79">
        <v>1</v>
      </c>
      <c r="E11" s="79" t="s">
        <v>97</v>
      </c>
      <c r="F11" s="79">
        <v>18000</v>
      </c>
      <c r="G11" s="213">
        <f>+D11*F11</f>
        <v>18000</v>
      </c>
    </row>
    <row r="12" spans="2:7" ht="15" x14ac:dyDescent="0.2">
      <c r="B12" s="131"/>
      <c r="C12" s="3" t="s">
        <v>246</v>
      </c>
      <c r="D12" s="79">
        <v>10</v>
      </c>
      <c r="E12" s="79" t="s">
        <v>188</v>
      </c>
      <c r="F12" s="79">
        <v>12000</v>
      </c>
      <c r="G12" s="213">
        <v>120000</v>
      </c>
    </row>
    <row r="13" spans="2:7" ht="15" x14ac:dyDescent="0.2">
      <c r="B13" s="131"/>
      <c r="C13" s="3" t="s">
        <v>247</v>
      </c>
      <c r="D13" s="79">
        <v>1</v>
      </c>
      <c r="E13" s="79" t="s">
        <v>97</v>
      </c>
      <c r="F13" s="79">
        <v>30000</v>
      </c>
      <c r="G13" s="213">
        <v>30000</v>
      </c>
    </row>
    <row r="14" spans="2:7" ht="15" x14ac:dyDescent="0.2">
      <c r="B14" s="131"/>
      <c r="C14" s="3" t="s">
        <v>248</v>
      </c>
      <c r="D14" s="79">
        <v>1</v>
      </c>
      <c r="E14" s="79" t="s">
        <v>97</v>
      </c>
      <c r="F14" s="79">
        <v>18000</v>
      </c>
      <c r="G14" s="213">
        <v>18000</v>
      </c>
    </row>
    <row r="15" spans="2:7" ht="15" x14ac:dyDescent="0.2">
      <c r="B15" s="131"/>
      <c r="C15" s="3" t="s">
        <v>249</v>
      </c>
      <c r="D15" s="79">
        <v>1</v>
      </c>
      <c r="E15" s="79" t="s">
        <v>97</v>
      </c>
      <c r="F15" s="79">
        <v>15000</v>
      </c>
      <c r="G15" s="213">
        <v>15000</v>
      </c>
    </row>
    <row r="16" spans="2:7" ht="15" x14ac:dyDescent="0.2">
      <c r="B16" s="131"/>
      <c r="C16" s="3" t="s">
        <v>250</v>
      </c>
      <c r="D16" s="79">
        <v>10</v>
      </c>
      <c r="E16" s="79" t="s">
        <v>188</v>
      </c>
      <c r="F16" s="79">
        <v>8700</v>
      </c>
      <c r="G16" s="213">
        <v>57000</v>
      </c>
    </row>
    <row r="17" spans="2:7" ht="15" x14ac:dyDescent="0.25">
      <c r="B17" s="131"/>
      <c r="C17" s="3"/>
      <c r="D17" s="79"/>
      <c r="E17" s="79"/>
      <c r="F17" s="200"/>
      <c r="G17" s="213"/>
    </row>
    <row r="18" spans="2:7" ht="15" x14ac:dyDescent="0.2">
      <c r="B18" s="131" t="s">
        <v>243</v>
      </c>
      <c r="C18" s="3" t="s">
        <v>17</v>
      </c>
      <c r="D18" s="79">
        <f>+I.2!C11</f>
        <v>1</v>
      </c>
      <c r="E18" s="79" t="str">
        <f>+I.2!E11</f>
        <v>lot</v>
      </c>
      <c r="F18" s="79">
        <v>55000</v>
      </c>
      <c r="G18" s="213">
        <f t="shared" ref="G18:G88" si="0">+D18*F18</f>
        <v>55000</v>
      </c>
    </row>
    <row r="19" spans="2:7" ht="15" x14ac:dyDescent="0.2">
      <c r="B19" s="131"/>
      <c r="C19" s="3"/>
      <c r="D19" s="79"/>
      <c r="E19" s="79"/>
      <c r="F19" s="79"/>
      <c r="G19" s="213"/>
    </row>
    <row r="20" spans="2:7" ht="15" x14ac:dyDescent="0.2">
      <c r="B20" s="131" t="s">
        <v>244</v>
      </c>
      <c r="C20" s="3" t="s">
        <v>253</v>
      </c>
      <c r="D20" s="79">
        <v>10</v>
      </c>
      <c r="E20" s="79" t="s">
        <v>188</v>
      </c>
      <c r="F20" s="79"/>
      <c r="G20" s="213">
        <v>100000</v>
      </c>
    </row>
    <row r="21" spans="2:7" ht="15" x14ac:dyDescent="0.2">
      <c r="B21" s="131"/>
      <c r="C21" s="3" t="s">
        <v>254</v>
      </c>
      <c r="D21" s="79">
        <v>10</v>
      </c>
      <c r="E21" s="79" t="s">
        <v>188</v>
      </c>
      <c r="F21" s="79">
        <v>50000</v>
      </c>
      <c r="G21" s="213" t="s">
        <v>266</v>
      </c>
    </row>
    <row r="22" spans="2:7" ht="15" x14ac:dyDescent="0.2">
      <c r="B22" s="131"/>
      <c r="C22" s="3" t="s">
        <v>255</v>
      </c>
      <c r="D22" s="79">
        <v>10</v>
      </c>
      <c r="E22" s="79" t="s">
        <v>188</v>
      </c>
      <c r="F22" s="79">
        <v>30000</v>
      </c>
      <c r="G22" s="213" t="s">
        <v>266</v>
      </c>
    </row>
    <row r="23" spans="2:7" ht="15" x14ac:dyDescent="0.2">
      <c r="B23" s="131"/>
      <c r="C23" s="3" t="s">
        <v>256</v>
      </c>
      <c r="D23" s="79">
        <v>10</v>
      </c>
      <c r="E23" s="79" t="s">
        <v>188</v>
      </c>
      <c r="F23" s="79">
        <v>15000</v>
      </c>
      <c r="G23" s="213" t="s">
        <v>266</v>
      </c>
    </row>
    <row r="24" spans="2:7" ht="15" x14ac:dyDescent="0.2">
      <c r="B24" s="131"/>
      <c r="C24" s="3" t="s">
        <v>257</v>
      </c>
      <c r="D24" s="79">
        <v>1</v>
      </c>
      <c r="E24" s="79" t="s">
        <v>97</v>
      </c>
      <c r="F24" s="79">
        <v>5000</v>
      </c>
      <c r="G24" s="213" t="s">
        <v>266</v>
      </c>
    </row>
    <row r="25" spans="2:7" ht="15" x14ac:dyDescent="0.2">
      <c r="B25" s="131"/>
      <c r="C25" s="3"/>
      <c r="D25" s="79"/>
      <c r="E25" s="79"/>
      <c r="F25" s="79"/>
      <c r="G25" s="213"/>
    </row>
    <row r="26" spans="2:7" ht="15" x14ac:dyDescent="0.2">
      <c r="B26" s="131" t="s">
        <v>251</v>
      </c>
      <c r="C26" s="3" t="s">
        <v>258</v>
      </c>
      <c r="D26" s="79">
        <v>1</v>
      </c>
      <c r="E26" s="79" t="s">
        <v>97</v>
      </c>
      <c r="F26" s="79"/>
      <c r="G26" s="213">
        <v>95000</v>
      </c>
    </row>
    <row r="27" spans="2:7" ht="15" x14ac:dyDescent="0.2">
      <c r="B27" s="131"/>
      <c r="C27" s="3" t="s">
        <v>259</v>
      </c>
      <c r="D27" s="79">
        <v>1</v>
      </c>
      <c r="E27" s="79" t="s">
        <v>97</v>
      </c>
      <c r="F27" s="79">
        <v>45000</v>
      </c>
      <c r="G27" s="213" t="s">
        <v>266</v>
      </c>
    </row>
    <row r="28" spans="2:7" ht="15" x14ac:dyDescent="0.2">
      <c r="B28" s="131"/>
      <c r="C28" s="3" t="s">
        <v>260</v>
      </c>
      <c r="D28" s="79">
        <v>1</v>
      </c>
      <c r="E28" s="79" t="s">
        <v>97</v>
      </c>
      <c r="F28" s="79">
        <v>20000</v>
      </c>
      <c r="G28" s="213" t="s">
        <v>266</v>
      </c>
    </row>
    <row r="29" spans="2:7" ht="15" x14ac:dyDescent="0.2">
      <c r="B29" s="131"/>
      <c r="C29" s="3" t="s">
        <v>261</v>
      </c>
      <c r="D29" s="79">
        <v>1</v>
      </c>
      <c r="E29" s="79" t="s">
        <v>97</v>
      </c>
      <c r="F29" s="79">
        <v>15000</v>
      </c>
      <c r="G29" s="213" t="s">
        <v>266</v>
      </c>
    </row>
    <row r="30" spans="2:7" ht="15" x14ac:dyDescent="0.2">
      <c r="B30" s="131"/>
      <c r="C30" s="3" t="s">
        <v>262</v>
      </c>
      <c r="D30" s="79">
        <v>1</v>
      </c>
      <c r="E30" s="79" t="s">
        <v>97</v>
      </c>
      <c r="F30" s="79">
        <v>15000</v>
      </c>
      <c r="G30" s="213" t="s">
        <v>266</v>
      </c>
    </row>
    <row r="31" spans="2:7" ht="15" x14ac:dyDescent="0.2">
      <c r="B31" s="131"/>
      <c r="C31" s="3"/>
      <c r="D31" s="79"/>
      <c r="E31" s="79"/>
      <c r="F31" s="79"/>
      <c r="G31" s="213" t="s">
        <v>266</v>
      </c>
    </row>
    <row r="32" spans="2:7" ht="15" x14ac:dyDescent="0.2">
      <c r="B32" s="131" t="s">
        <v>252</v>
      </c>
      <c r="C32" s="3" t="s">
        <v>263</v>
      </c>
      <c r="D32" s="79">
        <v>1</v>
      </c>
      <c r="E32" s="79" t="s">
        <v>97</v>
      </c>
      <c r="F32" s="79">
        <v>25000</v>
      </c>
      <c r="G32" s="213">
        <v>25000</v>
      </c>
    </row>
    <row r="33" spans="2:9" ht="15" x14ac:dyDescent="0.2">
      <c r="B33" s="131"/>
      <c r="C33" s="3"/>
      <c r="D33" s="79"/>
      <c r="E33" s="79"/>
      <c r="F33" s="79"/>
      <c r="G33" s="213" t="s">
        <v>266</v>
      </c>
    </row>
    <row r="34" spans="2:9" s="15" customFormat="1" ht="15" x14ac:dyDescent="0.25">
      <c r="B34" s="16"/>
      <c r="C34" s="17" t="s">
        <v>18</v>
      </c>
      <c r="D34" s="18"/>
      <c r="E34" s="18"/>
      <c r="F34" s="18"/>
      <c r="G34" s="213" t="s">
        <v>266</v>
      </c>
    </row>
    <row r="35" spans="2:9" ht="15" x14ac:dyDescent="0.2">
      <c r="B35" s="131"/>
      <c r="C35" s="3" t="s">
        <v>189</v>
      </c>
      <c r="D35" s="79">
        <v>121</v>
      </c>
      <c r="E35" s="79" t="s">
        <v>84</v>
      </c>
      <c r="F35" s="79">
        <v>90</v>
      </c>
      <c r="G35" s="213">
        <v>10800</v>
      </c>
    </row>
    <row r="36" spans="2:9" ht="15" x14ac:dyDescent="0.2">
      <c r="B36" s="131"/>
      <c r="C36" s="3" t="s">
        <v>264</v>
      </c>
      <c r="D36" s="79">
        <v>1</v>
      </c>
      <c r="E36" s="79" t="s">
        <v>97</v>
      </c>
      <c r="F36" s="79">
        <v>15000</v>
      </c>
      <c r="G36" s="213">
        <f t="shared" si="0"/>
        <v>15000</v>
      </c>
    </row>
    <row r="37" spans="2:9" ht="15" x14ac:dyDescent="0.2">
      <c r="B37" s="131"/>
      <c r="C37" s="3" t="s">
        <v>19</v>
      </c>
      <c r="D37" s="79">
        <v>105</v>
      </c>
      <c r="E37" s="79" t="str">
        <f>+II.3!E11</f>
        <v>cu.m.</v>
      </c>
      <c r="F37" s="79">
        <v>580</v>
      </c>
      <c r="G37" s="213">
        <f t="shared" si="0"/>
        <v>60900</v>
      </c>
    </row>
    <row r="38" spans="2:9" ht="15" x14ac:dyDescent="0.2">
      <c r="B38" s="131"/>
      <c r="C38" s="3" t="s">
        <v>265</v>
      </c>
      <c r="D38" s="79">
        <v>85</v>
      </c>
      <c r="E38" s="79" t="str">
        <f>+II.4!E11</f>
        <v>cu.m.</v>
      </c>
      <c r="F38" s="79">
        <v>400</v>
      </c>
      <c r="G38" s="213">
        <f t="shared" si="0"/>
        <v>34000</v>
      </c>
    </row>
    <row r="39" spans="2:9" ht="15" x14ac:dyDescent="0.2">
      <c r="B39" s="131"/>
      <c r="C39" s="3" t="s">
        <v>267</v>
      </c>
      <c r="D39" s="79">
        <v>17</v>
      </c>
      <c r="E39" s="79" t="s">
        <v>95</v>
      </c>
      <c r="F39" s="79">
        <v>1700</v>
      </c>
      <c r="G39" s="213">
        <f t="shared" si="0"/>
        <v>28900</v>
      </c>
    </row>
    <row r="40" spans="2:9" ht="15" x14ac:dyDescent="0.2">
      <c r="B40" s="131"/>
      <c r="C40" s="3" t="s">
        <v>268</v>
      </c>
      <c r="D40" s="79">
        <v>50</v>
      </c>
      <c r="E40" s="79" t="s">
        <v>269</v>
      </c>
      <c r="F40" s="79">
        <v>1000</v>
      </c>
      <c r="G40" s="213">
        <f t="shared" si="0"/>
        <v>50000</v>
      </c>
    </row>
    <row r="41" spans="2:9" x14ac:dyDescent="0.2">
      <c r="B41" s="131"/>
      <c r="C41" s="3"/>
      <c r="D41" s="79"/>
      <c r="E41" s="79"/>
      <c r="F41" s="79"/>
      <c r="G41" s="88"/>
    </row>
    <row r="42" spans="2:9" s="15" customFormat="1" ht="15" x14ac:dyDescent="0.25">
      <c r="B42" s="16"/>
      <c r="C42" s="17" t="s">
        <v>98</v>
      </c>
      <c r="D42" s="152">
        <v>10</v>
      </c>
      <c r="E42" s="152" t="str">
        <f>+III.!E9</f>
        <v>months</v>
      </c>
      <c r="F42" s="152">
        <v>40000</v>
      </c>
      <c r="G42" s="213">
        <f t="shared" si="0"/>
        <v>400000</v>
      </c>
    </row>
    <row r="43" spans="2:9" s="15" customFormat="1" ht="15" x14ac:dyDescent="0.25">
      <c r="B43" s="16"/>
      <c r="C43" s="17" t="s">
        <v>28</v>
      </c>
      <c r="D43" s="18"/>
      <c r="E43" s="18"/>
      <c r="F43" s="18"/>
      <c r="G43" s="213" t="s">
        <v>266</v>
      </c>
      <c r="I43" s="15" t="s">
        <v>123</v>
      </c>
    </row>
    <row r="44" spans="2:9" s="5" customFormat="1" ht="28.5" x14ac:dyDescent="0.25">
      <c r="B44" s="6"/>
      <c r="C44" s="195" t="s">
        <v>124</v>
      </c>
      <c r="D44" s="159">
        <v>15.5</v>
      </c>
      <c r="E44" s="89" t="s">
        <v>270</v>
      </c>
      <c r="F44" s="158">
        <v>56500</v>
      </c>
      <c r="G44" s="213">
        <f t="shared" si="0"/>
        <v>875750</v>
      </c>
    </row>
    <row r="45" spans="2:9" s="5" customFormat="1" ht="28.5" x14ac:dyDescent="0.25">
      <c r="B45" s="6"/>
      <c r="C45" s="4" t="s">
        <v>103</v>
      </c>
      <c r="D45" s="89">
        <v>178</v>
      </c>
      <c r="E45" s="89" t="str">
        <f>+IV.2!E11</f>
        <v>cu.m.</v>
      </c>
      <c r="F45" s="89">
        <v>5600</v>
      </c>
      <c r="G45" s="213">
        <f t="shared" si="0"/>
        <v>996800</v>
      </c>
    </row>
    <row r="46" spans="2:9" ht="15" x14ac:dyDescent="0.2">
      <c r="B46" s="131"/>
      <c r="C46" s="3" t="s">
        <v>32</v>
      </c>
      <c r="D46" s="79">
        <v>1900</v>
      </c>
      <c r="E46" s="79" t="str">
        <f>+IV.3!E11</f>
        <v>sq.m.</v>
      </c>
      <c r="F46" s="79">
        <v>280</v>
      </c>
      <c r="G46" s="213">
        <f t="shared" si="0"/>
        <v>532000</v>
      </c>
    </row>
    <row r="47" spans="2:9" ht="15" x14ac:dyDescent="0.2">
      <c r="B47" s="131"/>
      <c r="C47" s="3" t="s">
        <v>271</v>
      </c>
      <c r="D47" s="79">
        <v>175</v>
      </c>
      <c r="E47" s="79" t="s">
        <v>95</v>
      </c>
      <c r="F47" s="79">
        <v>850</v>
      </c>
      <c r="G47" s="213">
        <f t="shared" si="0"/>
        <v>148750</v>
      </c>
    </row>
    <row r="48" spans="2:9" ht="15" x14ac:dyDescent="0.2">
      <c r="B48" s="131"/>
      <c r="C48" s="3" t="s">
        <v>272</v>
      </c>
      <c r="D48" s="79">
        <v>1</v>
      </c>
      <c r="E48" s="79" t="s">
        <v>97</v>
      </c>
      <c r="F48" s="79">
        <v>26000</v>
      </c>
      <c r="G48" s="213">
        <v>26000</v>
      </c>
    </row>
    <row r="49" spans="2:7" ht="15" x14ac:dyDescent="0.2">
      <c r="B49" s="131"/>
      <c r="C49" s="3" t="s">
        <v>273</v>
      </c>
      <c r="D49" s="79">
        <v>175</v>
      </c>
      <c r="E49" s="79" t="s">
        <v>95</v>
      </c>
      <c r="F49" s="79">
        <v>650</v>
      </c>
      <c r="G49" s="213">
        <v>113750</v>
      </c>
    </row>
    <row r="50" spans="2:7" ht="15" x14ac:dyDescent="0.2">
      <c r="B50" s="131"/>
      <c r="C50" s="3" t="s">
        <v>274</v>
      </c>
      <c r="D50" s="79">
        <v>1</v>
      </c>
      <c r="E50" s="79" t="s">
        <v>97</v>
      </c>
      <c r="F50" s="79">
        <v>19000</v>
      </c>
      <c r="G50" s="213">
        <v>19000</v>
      </c>
    </row>
    <row r="51" spans="2:7" x14ac:dyDescent="0.2">
      <c r="B51" s="131"/>
      <c r="C51" s="3"/>
      <c r="D51" s="79"/>
      <c r="E51" s="79"/>
      <c r="F51" s="79"/>
      <c r="G51" s="88"/>
    </row>
    <row r="52" spans="2:7" ht="15" x14ac:dyDescent="0.25">
      <c r="B52" s="131"/>
      <c r="C52" s="9" t="s">
        <v>290</v>
      </c>
      <c r="D52" s="79"/>
      <c r="E52" s="79"/>
      <c r="F52" s="79"/>
      <c r="G52" s="213" t="s">
        <v>266</v>
      </c>
    </row>
    <row r="53" spans="2:7" ht="15" x14ac:dyDescent="0.2">
      <c r="B53" s="131"/>
      <c r="C53" s="3" t="s">
        <v>275</v>
      </c>
      <c r="D53" s="79">
        <v>1000</v>
      </c>
      <c r="E53" s="79" t="s">
        <v>84</v>
      </c>
      <c r="F53" s="79">
        <v>748.72500000000002</v>
      </c>
      <c r="G53" s="213">
        <v>748725</v>
      </c>
    </row>
    <row r="54" spans="2:7" ht="15" x14ac:dyDescent="0.2">
      <c r="B54" s="131"/>
      <c r="C54" s="3" t="s">
        <v>276</v>
      </c>
      <c r="D54" s="79">
        <v>4450</v>
      </c>
      <c r="E54" s="79" t="s">
        <v>277</v>
      </c>
      <c r="F54" s="88">
        <v>102350</v>
      </c>
      <c r="G54" s="213" t="s">
        <v>266</v>
      </c>
    </row>
    <row r="55" spans="2:7" ht="15" x14ac:dyDescent="0.2">
      <c r="B55" s="131"/>
      <c r="C55" s="3" t="s">
        <v>278</v>
      </c>
      <c r="D55" s="79">
        <v>265</v>
      </c>
      <c r="E55" s="79" t="s">
        <v>118</v>
      </c>
      <c r="F55" s="88">
        <v>70225</v>
      </c>
      <c r="G55" s="213" t="s">
        <v>266</v>
      </c>
    </row>
    <row r="56" spans="2:7" ht="15" x14ac:dyDescent="0.2">
      <c r="B56" s="131"/>
      <c r="C56" s="3" t="s">
        <v>279</v>
      </c>
      <c r="D56" s="79">
        <v>30</v>
      </c>
      <c r="E56" s="79" t="s">
        <v>95</v>
      </c>
      <c r="F56" s="88">
        <v>37500</v>
      </c>
      <c r="G56" s="213" t="s">
        <v>266</v>
      </c>
    </row>
    <row r="57" spans="2:7" ht="15" x14ac:dyDescent="0.2">
      <c r="B57" s="131"/>
      <c r="C57" s="3" t="s">
        <v>280</v>
      </c>
      <c r="D57" s="79">
        <v>1.05</v>
      </c>
      <c r="E57" s="79" t="s">
        <v>270</v>
      </c>
      <c r="F57" s="79">
        <v>57325</v>
      </c>
      <c r="G57" s="213" t="s">
        <v>266</v>
      </c>
    </row>
    <row r="58" spans="2:7" ht="15" x14ac:dyDescent="0.2">
      <c r="B58" s="131"/>
      <c r="C58" s="3" t="s">
        <v>281</v>
      </c>
      <c r="D58" s="79">
        <v>0.85</v>
      </c>
      <c r="E58" s="79" t="s">
        <v>270</v>
      </c>
      <c r="F58" s="79">
        <v>46325</v>
      </c>
      <c r="G58" s="213" t="s">
        <v>266</v>
      </c>
    </row>
    <row r="59" spans="2:7" ht="15" x14ac:dyDescent="0.2">
      <c r="B59" s="131"/>
      <c r="C59" s="3" t="s">
        <v>282</v>
      </c>
      <c r="D59" s="79">
        <v>1000</v>
      </c>
      <c r="E59" s="79" t="s">
        <v>84</v>
      </c>
      <c r="F59" s="88">
        <v>290000</v>
      </c>
      <c r="G59" s="213" t="s">
        <v>266</v>
      </c>
    </row>
    <row r="60" spans="2:7" ht="15" x14ac:dyDescent="0.2">
      <c r="B60" s="131"/>
      <c r="C60" s="3" t="s">
        <v>283</v>
      </c>
      <c r="D60" s="79">
        <v>1000</v>
      </c>
      <c r="E60" s="79" t="s">
        <v>84</v>
      </c>
      <c r="F60" s="88">
        <v>145000</v>
      </c>
      <c r="G60" s="213" t="s">
        <v>266</v>
      </c>
    </row>
    <row r="61" spans="2:7" x14ac:dyDescent="0.2">
      <c r="B61" s="131"/>
      <c r="C61" s="3"/>
      <c r="D61" s="79"/>
      <c r="E61" s="79"/>
      <c r="F61" s="204"/>
      <c r="G61" s="88"/>
    </row>
    <row r="62" spans="2:7" ht="15" x14ac:dyDescent="0.2">
      <c r="B62" s="131"/>
      <c r="C62" s="3" t="s">
        <v>285</v>
      </c>
      <c r="D62" s="79">
        <v>1900</v>
      </c>
      <c r="E62" s="79" t="s">
        <v>84</v>
      </c>
      <c r="F62" s="79">
        <v>280</v>
      </c>
      <c r="G62" s="213">
        <v>532100</v>
      </c>
    </row>
    <row r="63" spans="2:7" ht="15" x14ac:dyDescent="0.2">
      <c r="B63" s="131"/>
      <c r="C63" s="3" t="s">
        <v>286</v>
      </c>
      <c r="D63" s="79">
        <v>340</v>
      </c>
      <c r="E63" s="79" t="s">
        <v>118</v>
      </c>
      <c r="F63" s="88">
        <v>90100</v>
      </c>
      <c r="G63" s="213" t="s">
        <v>266</v>
      </c>
    </row>
    <row r="64" spans="2:7" ht="15" x14ac:dyDescent="0.2">
      <c r="B64" s="131"/>
      <c r="C64" s="3" t="s">
        <v>287</v>
      </c>
      <c r="D64" s="79">
        <v>42</v>
      </c>
      <c r="E64" s="79" t="s">
        <v>95</v>
      </c>
      <c r="F64" s="88">
        <v>52500</v>
      </c>
      <c r="G64" s="213" t="s">
        <v>266</v>
      </c>
    </row>
    <row r="65" spans="2:7" ht="15" x14ac:dyDescent="0.2">
      <c r="B65" s="131"/>
      <c r="C65" s="3" t="s">
        <v>288</v>
      </c>
      <c r="D65" s="79">
        <v>1900</v>
      </c>
      <c r="E65" s="79" t="s">
        <v>84</v>
      </c>
      <c r="F65" s="88">
        <v>256500</v>
      </c>
      <c r="G65" s="213" t="s">
        <v>266</v>
      </c>
    </row>
    <row r="66" spans="2:7" ht="15" x14ac:dyDescent="0.2">
      <c r="B66" s="131"/>
      <c r="C66" s="3" t="s">
        <v>283</v>
      </c>
      <c r="D66" s="79">
        <v>1900</v>
      </c>
      <c r="E66" s="79" t="s">
        <v>84</v>
      </c>
      <c r="F66" s="88">
        <v>133000</v>
      </c>
      <c r="G66" s="213" t="s">
        <v>266</v>
      </c>
    </row>
    <row r="67" spans="2:7" x14ac:dyDescent="0.2">
      <c r="B67" s="131"/>
      <c r="C67" s="3"/>
      <c r="D67" s="79"/>
      <c r="E67" s="79"/>
      <c r="F67" s="79"/>
      <c r="G67" s="88"/>
    </row>
    <row r="68" spans="2:7" ht="15" x14ac:dyDescent="0.25">
      <c r="B68" s="8"/>
      <c r="C68" s="9" t="s">
        <v>289</v>
      </c>
      <c r="D68" s="132"/>
      <c r="E68" s="132"/>
      <c r="F68" s="132"/>
      <c r="G68" s="213" t="s">
        <v>266</v>
      </c>
    </row>
    <row r="69" spans="2:7" ht="15" x14ac:dyDescent="0.25">
      <c r="B69" s="8"/>
      <c r="C69" s="3" t="s">
        <v>291</v>
      </c>
      <c r="D69" s="79">
        <v>390</v>
      </c>
      <c r="E69" s="132" t="s">
        <v>84</v>
      </c>
      <c r="F69" s="79">
        <v>720</v>
      </c>
      <c r="G69" s="213">
        <v>328600</v>
      </c>
    </row>
    <row r="70" spans="2:7" ht="15" x14ac:dyDescent="0.2">
      <c r="B70" s="131"/>
      <c r="C70" s="203" t="s">
        <v>292</v>
      </c>
      <c r="D70" s="79">
        <v>290</v>
      </c>
      <c r="E70" s="79" t="str">
        <f>+V.1!E11</f>
        <v>sq.m.</v>
      </c>
      <c r="F70" s="79">
        <v>127600</v>
      </c>
      <c r="G70" s="213" t="s">
        <v>266</v>
      </c>
    </row>
    <row r="71" spans="2:7" ht="15" x14ac:dyDescent="0.2">
      <c r="B71" s="131"/>
      <c r="C71" s="203" t="s">
        <v>293</v>
      </c>
      <c r="D71" s="79">
        <v>100</v>
      </c>
      <c r="E71" s="79" t="str">
        <f>+V.2!E11</f>
        <v>sq.m.</v>
      </c>
      <c r="F71" s="79">
        <v>50000</v>
      </c>
      <c r="G71" s="213" t="s">
        <v>266</v>
      </c>
    </row>
    <row r="72" spans="2:7" ht="15" x14ac:dyDescent="0.2">
      <c r="B72" s="131"/>
      <c r="C72" s="203" t="s">
        <v>294</v>
      </c>
      <c r="D72" s="79">
        <v>1</v>
      </c>
      <c r="E72" s="79" t="s">
        <v>97</v>
      </c>
      <c r="F72" s="79">
        <v>34000</v>
      </c>
      <c r="G72" s="213" t="s">
        <v>266</v>
      </c>
    </row>
    <row r="73" spans="2:7" ht="15" x14ac:dyDescent="0.2">
      <c r="B73" s="131"/>
      <c r="C73" s="203" t="s">
        <v>295</v>
      </c>
      <c r="D73" s="79">
        <v>390</v>
      </c>
      <c r="E73" s="79" t="s">
        <v>84</v>
      </c>
      <c r="F73" s="79">
        <v>117000</v>
      </c>
      <c r="G73" s="213" t="s">
        <v>266</v>
      </c>
    </row>
    <row r="74" spans="2:7" s="15" customFormat="1" ht="15" x14ac:dyDescent="0.25">
      <c r="B74" s="16"/>
      <c r="C74" s="17" t="s">
        <v>38</v>
      </c>
      <c r="D74" s="152">
        <v>370</v>
      </c>
      <c r="E74" s="152" t="str">
        <f>+VI.!E9</f>
        <v>sq.m.</v>
      </c>
      <c r="F74" s="152">
        <v>580</v>
      </c>
      <c r="G74" s="213">
        <v>243300</v>
      </c>
    </row>
    <row r="75" spans="2:7" s="15" customFormat="1" ht="15" x14ac:dyDescent="0.25">
      <c r="B75" s="16"/>
      <c r="C75" s="205" t="s">
        <v>296</v>
      </c>
      <c r="D75" s="152">
        <v>400</v>
      </c>
      <c r="E75" s="152" t="s">
        <v>84</v>
      </c>
      <c r="F75" s="152">
        <v>136000</v>
      </c>
      <c r="G75" s="213" t="s">
        <v>266</v>
      </c>
    </row>
    <row r="76" spans="2:7" s="15" customFormat="1" ht="15" x14ac:dyDescent="0.25">
      <c r="B76" s="16"/>
      <c r="C76" s="205" t="s">
        <v>297</v>
      </c>
      <c r="D76" s="152">
        <v>370</v>
      </c>
      <c r="E76" s="152" t="s">
        <v>84</v>
      </c>
      <c r="F76" s="152">
        <v>59200</v>
      </c>
      <c r="G76" s="213" t="s">
        <v>266</v>
      </c>
    </row>
    <row r="77" spans="2:7" s="15" customFormat="1" ht="15" x14ac:dyDescent="0.25">
      <c r="B77" s="16"/>
      <c r="C77" s="205" t="s">
        <v>298</v>
      </c>
      <c r="D77" s="152">
        <v>370</v>
      </c>
      <c r="E77" s="152" t="s">
        <v>84</v>
      </c>
      <c r="F77" s="152">
        <v>48100</v>
      </c>
      <c r="G77" s="213" t="s">
        <v>266</v>
      </c>
    </row>
    <row r="78" spans="2:7" ht="15" x14ac:dyDescent="0.25">
      <c r="B78" s="8"/>
      <c r="C78" s="9" t="s">
        <v>299</v>
      </c>
      <c r="D78" s="132"/>
      <c r="E78" s="132"/>
      <c r="F78" s="132"/>
      <c r="G78" s="213">
        <v>110040</v>
      </c>
    </row>
    <row r="79" spans="2:7" ht="15" x14ac:dyDescent="0.25">
      <c r="B79" s="8"/>
      <c r="C79" s="3" t="s">
        <v>300</v>
      </c>
      <c r="D79" s="79">
        <v>22</v>
      </c>
      <c r="E79" s="132" t="s">
        <v>301</v>
      </c>
      <c r="F79" s="152">
        <v>83600</v>
      </c>
      <c r="G79" s="213" t="s">
        <v>266</v>
      </c>
    </row>
    <row r="80" spans="2:7" ht="15" x14ac:dyDescent="0.25">
      <c r="B80" s="8"/>
      <c r="C80" s="3" t="s">
        <v>302</v>
      </c>
      <c r="D80" s="79">
        <v>38</v>
      </c>
      <c r="E80" s="132" t="s">
        <v>141</v>
      </c>
      <c r="F80" s="152">
        <v>13680</v>
      </c>
      <c r="G80" s="213" t="s">
        <v>266</v>
      </c>
    </row>
    <row r="81" spans="2:7" ht="15" x14ac:dyDescent="0.2">
      <c r="B81" s="131"/>
      <c r="C81" s="3" t="s">
        <v>303</v>
      </c>
      <c r="D81" s="79">
        <v>22</v>
      </c>
      <c r="E81" s="79" t="s">
        <v>301</v>
      </c>
      <c r="F81" s="79">
        <v>12760</v>
      </c>
      <c r="G81" s="213" t="s">
        <v>266</v>
      </c>
    </row>
    <row r="82" spans="2:7" ht="15" x14ac:dyDescent="0.25">
      <c r="B82" s="131"/>
      <c r="C82" s="9" t="s">
        <v>305</v>
      </c>
      <c r="D82" s="79"/>
      <c r="E82" s="79"/>
      <c r="F82" s="79"/>
      <c r="G82" s="213">
        <v>147200</v>
      </c>
    </row>
    <row r="83" spans="2:7" ht="15" x14ac:dyDescent="0.2">
      <c r="B83" s="131"/>
      <c r="C83" s="3" t="s">
        <v>306</v>
      </c>
      <c r="D83" s="79">
        <v>12</v>
      </c>
      <c r="E83" s="79" t="s">
        <v>307</v>
      </c>
      <c r="F83" s="79">
        <v>42000</v>
      </c>
      <c r="G83" s="213" t="s">
        <v>266</v>
      </c>
    </row>
    <row r="84" spans="2:7" ht="15" x14ac:dyDescent="0.2">
      <c r="B84" s="131"/>
      <c r="C84" s="3" t="s">
        <v>308</v>
      </c>
      <c r="D84" s="79">
        <v>5</v>
      </c>
      <c r="E84" s="79" t="s">
        <v>307</v>
      </c>
      <c r="F84" s="79">
        <v>21000</v>
      </c>
      <c r="G84" s="213" t="s">
        <v>266</v>
      </c>
    </row>
    <row r="85" spans="2:7" ht="15" x14ac:dyDescent="0.2">
      <c r="B85" s="131"/>
      <c r="C85" s="3" t="s">
        <v>309</v>
      </c>
      <c r="D85" s="79">
        <v>5</v>
      </c>
      <c r="E85" s="79" t="s">
        <v>307</v>
      </c>
      <c r="F85" s="79">
        <v>16000</v>
      </c>
      <c r="G85" s="213" t="s">
        <v>266</v>
      </c>
    </row>
    <row r="86" spans="2:7" ht="15" x14ac:dyDescent="0.2">
      <c r="B86" s="131"/>
      <c r="C86" s="3" t="s">
        <v>310</v>
      </c>
      <c r="D86" s="79">
        <v>22</v>
      </c>
      <c r="E86" s="79" t="s">
        <v>307</v>
      </c>
      <c r="F86" s="79">
        <v>50600</v>
      </c>
      <c r="G86" s="213" t="s">
        <v>266</v>
      </c>
    </row>
    <row r="87" spans="2:7" ht="15" x14ac:dyDescent="0.2">
      <c r="B87" s="131"/>
      <c r="C87" s="3" t="s">
        <v>303</v>
      </c>
      <c r="D87" s="79">
        <v>22</v>
      </c>
      <c r="E87" s="79" t="s">
        <v>311</v>
      </c>
      <c r="F87" s="79">
        <v>17600</v>
      </c>
      <c r="G87" s="213" t="s">
        <v>266</v>
      </c>
    </row>
    <row r="88" spans="2:7" s="15" customFormat="1" ht="15" x14ac:dyDescent="0.25">
      <c r="B88" s="16"/>
      <c r="C88" s="201" t="s">
        <v>304</v>
      </c>
      <c r="D88" s="152">
        <f>+VIII.!C9</f>
        <v>1</v>
      </c>
      <c r="E88" s="152" t="str">
        <f>+VIII.!E9</f>
        <v>lot</v>
      </c>
      <c r="F88" s="152">
        <f>+VIII.!G46</f>
        <v>381000</v>
      </c>
      <c r="G88" s="213">
        <f t="shared" si="0"/>
        <v>381000</v>
      </c>
    </row>
    <row r="89" spans="2:7" s="15" customFormat="1" ht="15" x14ac:dyDescent="0.25">
      <c r="B89" s="16"/>
      <c r="C89" s="206" t="s">
        <v>312</v>
      </c>
      <c r="D89" s="152">
        <v>44</v>
      </c>
      <c r="E89" s="152" t="s">
        <v>313</v>
      </c>
      <c r="F89" s="152">
        <v>83600</v>
      </c>
      <c r="G89" s="213" t="s">
        <v>266</v>
      </c>
    </row>
    <row r="90" spans="2:7" s="15" customFormat="1" ht="15" x14ac:dyDescent="0.25">
      <c r="B90" s="16"/>
      <c r="C90" s="206" t="s">
        <v>314</v>
      </c>
      <c r="D90" s="152">
        <v>31</v>
      </c>
      <c r="E90" s="152" t="s">
        <v>313</v>
      </c>
      <c r="F90" s="152">
        <v>71300</v>
      </c>
      <c r="G90" s="213" t="s">
        <v>266</v>
      </c>
    </row>
    <row r="91" spans="2:7" s="15" customFormat="1" ht="15" x14ac:dyDescent="0.25">
      <c r="B91" s="16"/>
      <c r="C91" s="206" t="s">
        <v>315</v>
      </c>
      <c r="D91" s="152">
        <v>20</v>
      </c>
      <c r="E91" s="152" t="s">
        <v>313</v>
      </c>
      <c r="F91" s="152">
        <v>34000</v>
      </c>
      <c r="G91" s="213" t="s">
        <v>266</v>
      </c>
    </row>
    <row r="92" spans="2:7" s="15" customFormat="1" ht="15" x14ac:dyDescent="0.25">
      <c r="B92" s="16"/>
      <c r="C92" s="206" t="s">
        <v>316</v>
      </c>
      <c r="D92" s="152">
        <v>1</v>
      </c>
      <c r="E92" s="152" t="s">
        <v>97</v>
      </c>
      <c r="F92" s="152">
        <v>10000</v>
      </c>
      <c r="G92" s="213" t="s">
        <v>266</v>
      </c>
    </row>
    <row r="93" spans="2:7" s="15" customFormat="1" ht="15" x14ac:dyDescent="0.25">
      <c r="B93" s="16"/>
      <c r="C93" s="206" t="s">
        <v>317</v>
      </c>
      <c r="D93" s="152">
        <v>1</v>
      </c>
      <c r="E93" s="152" t="s">
        <v>97</v>
      </c>
      <c r="F93" s="152">
        <v>50000</v>
      </c>
      <c r="G93" s="213" t="s">
        <v>266</v>
      </c>
    </row>
    <row r="94" spans="2:7" s="15" customFormat="1" ht="15" x14ac:dyDescent="0.25">
      <c r="B94" s="16"/>
      <c r="C94" s="201" t="s">
        <v>318</v>
      </c>
      <c r="D94" s="152">
        <v>95</v>
      </c>
      <c r="E94" s="152" t="s">
        <v>84</v>
      </c>
      <c r="F94" s="152">
        <v>720</v>
      </c>
      <c r="G94" s="213">
        <v>68400</v>
      </c>
    </row>
    <row r="95" spans="2:7" s="15" customFormat="1" ht="15" x14ac:dyDescent="0.25">
      <c r="B95" s="16"/>
      <c r="C95" s="206" t="s">
        <v>319</v>
      </c>
      <c r="D95" s="152">
        <v>95</v>
      </c>
      <c r="E95" s="152" t="s">
        <v>84</v>
      </c>
      <c r="F95" s="152">
        <v>47500</v>
      </c>
      <c r="G95" s="213" t="s">
        <v>266</v>
      </c>
    </row>
    <row r="96" spans="2:7" s="15" customFormat="1" ht="15" x14ac:dyDescent="0.25">
      <c r="B96" s="16"/>
      <c r="C96" s="206" t="s">
        <v>320</v>
      </c>
      <c r="D96" s="152">
        <v>95</v>
      </c>
      <c r="E96" s="152" t="s">
        <v>84</v>
      </c>
      <c r="F96" s="152">
        <v>20900</v>
      </c>
      <c r="G96" s="213" t="s">
        <v>266</v>
      </c>
    </row>
    <row r="97" spans="2:7" s="15" customFormat="1" ht="15" x14ac:dyDescent="0.25">
      <c r="B97" s="16"/>
      <c r="C97" s="201" t="s">
        <v>321</v>
      </c>
      <c r="D97" s="152">
        <v>45</v>
      </c>
      <c r="E97" s="152" t="s">
        <v>94</v>
      </c>
      <c r="F97" s="152">
        <v>1950</v>
      </c>
      <c r="G97" s="213">
        <v>87750</v>
      </c>
    </row>
    <row r="98" spans="2:7" s="15" customFormat="1" ht="15" x14ac:dyDescent="0.25">
      <c r="B98" s="16"/>
      <c r="C98" s="206" t="s">
        <v>322</v>
      </c>
      <c r="D98" s="152">
        <v>45</v>
      </c>
      <c r="E98" s="152" t="s">
        <v>94</v>
      </c>
      <c r="F98" s="152">
        <v>76500</v>
      </c>
      <c r="G98" s="213" t="s">
        <v>266</v>
      </c>
    </row>
    <row r="99" spans="2:7" s="15" customFormat="1" ht="15" x14ac:dyDescent="0.25">
      <c r="B99" s="16"/>
      <c r="C99" s="206" t="s">
        <v>323</v>
      </c>
      <c r="D99" s="152">
        <v>45</v>
      </c>
      <c r="E99" s="152" t="s">
        <v>94</v>
      </c>
      <c r="F99" s="152">
        <v>21600</v>
      </c>
      <c r="G99" s="213" t="s">
        <v>266</v>
      </c>
    </row>
    <row r="100" spans="2:7" s="15" customFormat="1" ht="15" x14ac:dyDescent="0.25">
      <c r="B100" s="16"/>
      <c r="C100" s="206"/>
      <c r="D100" s="152"/>
      <c r="E100" s="152"/>
      <c r="F100" s="152"/>
      <c r="G100" s="213"/>
    </row>
    <row r="101" spans="2:7" s="15" customFormat="1" ht="15" x14ac:dyDescent="0.25">
      <c r="B101" s="16"/>
      <c r="C101" s="201" t="s">
        <v>232</v>
      </c>
      <c r="D101" s="152">
        <f>+IX.!C9</f>
        <v>1</v>
      </c>
      <c r="E101" s="152" t="str">
        <f>+IX.!E9</f>
        <v>lot</v>
      </c>
      <c r="F101" s="152">
        <v>720000</v>
      </c>
      <c r="G101" s="213">
        <v>720000</v>
      </c>
    </row>
    <row r="102" spans="2:7" s="15" customFormat="1" ht="15" x14ac:dyDescent="0.25">
      <c r="B102" s="16"/>
      <c r="C102" s="207" t="s">
        <v>324</v>
      </c>
      <c r="D102" s="198">
        <v>1</v>
      </c>
      <c r="E102" s="198" t="s">
        <v>97</v>
      </c>
      <c r="F102" s="198">
        <v>125000</v>
      </c>
      <c r="G102" s="213" t="s">
        <v>266</v>
      </c>
    </row>
    <row r="103" spans="2:7" s="15" customFormat="1" ht="15" x14ac:dyDescent="0.25">
      <c r="B103" s="16"/>
      <c r="C103" s="207" t="s">
        <v>325</v>
      </c>
      <c r="D103" s="198">
        <v>1</v>
      </c>
      <c r="E103" s="198" t="s">
        <v>97</v>
      </c>
      <c r="F103" s="198">
        <v>67000</v>
      </c>
      <c r="G103" s="213" t="s">
        <v>266</v>
      </c>
    </row>
    <row r="104" spans="2:7" s="15" customFormat="1" ht="15" x14ac:dyDescent="0.25">
      <c r="B104" s="16"/>
      <c r="C104" s="207" t="s">
        <v>326</v>
      </c>
      <c r="D104" s="198">
        <v>1</v>
      </c>
      <c r="E104" s="198" t="s">
        <v>97</v>
      </c>
      <c r="F104" s="198">
        <v>26000</v>
      </c>
      <c r="G104" s="213" t="s">
        <v>266</v>
      </c>
    </row>
    <row r="105" spans="2:7" s="15" customFormat="1" ht="15" x14ac:dyDescent="0.25">
      <c r="B105" s="16"/>
      <c r="C105" s="207" t="s">
        <v>327</v>
      </c>
      <c r="D105" s="198">
        <v>2</v>
      </c>
      <c r="E105" s="198" t="s">
        <v>301</v>
      </c>
      <c r="F105" s="198">
        <v>18000</v>
      </c>
      <c r="G105" s="213" t="s">
        <v>266</v>
      </c>
    </row>
    <row r="106" spans="2:7" s="15" customFormat="1" ht="15" x14ac:dyDescent="0.25">
      <c r="B106" s="16"/>
      <c r="C106" s="207" t="s">
        <v>328</v>
      </c>
      <c r="D106" s="198">
        <v>1</v>
      </c>
      <c r="E106" s="198" t="s">
        <v>307</v>
      </c>
      <c r="F106" s="198">
        <v>23000</v>
      </c>
      <c r="G106" s="213" t="s">
        <v>266</v>
      </c>
    </row>
    <row r="107" spans="2:7" s="15" customFormat="1" ht="15" x14ac:dyDescent="0.25">
      <c r="B107" s="16"/>
      <c r="C107" s="207" t="s">
        <v>303</v>
      </c>
      <c r="D107" s="198">
        <v>1</v>
      </c>
      <c r="E107" s="198" t="s">
        <v>97</v>
      </c>
      <c r="F107" s="198">
        <v>20000</v>
      </c>
      <c r="G107" s="213" t="s">
        <v>266</v>
      </c>
    </row>
    <row r="108" spans="2:7" s="15" customFormat="1" ht="15" x14ac:dyDescent="0.25">
      <c r="B108" s="16"/>
      <c r="C108" s="202" t="s">
        <v>329</v>
      </c>
      <c r="D108" s="198">
        <v>1</v>
      </c>
      <c r="E108" s="198" t="s">
        <v>97</v>
      </c>
      <c r="F108" s="198">
        <v>173000</v>
      </c>
      <c r="G108" s="213" t="s">
        <v>266</v>
      </c>
    </row>
    <row r="109" spans="2:7" s="15" customFormat="1" ht="15" x14ac:dyDescent="0.25">
      <c r="B109" s="16"/>
      <c r="C109" s="207" t="s">
        <v>330</v>
      </c>
      <c r="D109" s="198">
        <v>1</v>
      </c>
      <c r="E109" s="198" t="s">
        <v>97</v>
      </c>
      <c r="F109" s="198">
        <v>48000</v>
      </c>
      <c r="G109" s="213" t="s">
        <v>266</v>
      </c>
    </row>
    <row r="110" spans="2:7" s="15" customFormat="1" ht="15" x14ac:dyDescent="0.25">
      <c r="B110" s="16"/>
      <c r="C110" s="207" t="s">
        <v>331</v>
      </c>
      <c r="D110" s="198">
        <v>1</v>
      </c>
      <c r="E110" s="198" t="s">
        <v>97</v>
      </c>
      <c r="F110" s="198">
        <v>25000</v>
      </c>
      <c r="G110" s="213" t="s">
        <v>266</v>
      </c>
    </row>
    <row r="111" spans="2:7" s="15" customFormat="1" ht="15" x14ac:dyDescent="0.25">
      <c r="B111" s="16"/>
      <c r="C111" s="207" t="s">
        <v>332</v>
      </c>
      <c r="D111" s="198">
        <v>10</v>
      </c>
      <c r="E111" s="198" t="s">
        <v>307</v>
      </c>
      <c r="F111" s="198">
        <v>55000</v>
      </c>
      <c r="G111" s="213" t="s">
        <v>266</v>
      </c>
    </row>
    <row r="112" spans="2:7" s="15" customFormat="1" ht="15" x14ac:dyDescent="0.25">
      <c r="B112" s="16"/>
      <c r="C112" s="207" t="s">
        <v>333</v>
      </c>
      <c r="D112" s="198">
        <v>10</v>
      </c>
      <c r="E112" s="198" t="s">
        <v>307</v>
      </c>
      <c r="F112" s="198">
        <v>38000</v>
      </c>
      <c r="G112" s="213" t="s">
        <v>266</v>
      </c>
    </row>
    <row r="113" spans="2:7" s="15" customFormat="1" ht="15" x14ac:dyDescent="0.25">
      <c r="B113" s="16"/>
      <c r="C113" s="207" t="s">
        <v>303</v>
      </c>
      <c r="D113" s="198">
        <v>1</v>
      </c>
      <c r="E113" s="198" t="s">
        <v>97</v>
      </c>
      <c r="F113" s="198">
        <v>30000</v>
      </c>
      <c r="G113" s="213" t="s">
        <v>266</v>
      </c>
    </row>
    <row r="114" spans="2:7" s="15" customFormat="1" ht="15" x14ac:dyDescent="0.25">
      <c r="B114" s="16"/>
      <c r="C114" s="202" t="s">
        <v>334</v>
      </c>
      <c r="D114" s="198">
        <v>1</v>
      </c>
      <c r="E114" s="198" t="s">
        <v>97</v>
      </c>
      <c r="F114" s="198">
        <v>36000</v>
      </c>
      <c r="G114" s="213" t="s">
        <v>266</v>
      </c>
    </row>
    <row r="115" spans="2:7" s="15" customFormat="1" ht="15" x14ac:dyDescent="0.25">
      <c r="B115" s="16"/>
      <c r="C115" s="207" t="s">
        <v>335</v>
      </c>
      <c r="D115" s="198">
        <v>1</v>
      </c>
      <c r="E115" s="198" t="s">
        <v>97</v>
      </c>
      <c r="F115" s="198">
        <v>21000</v>
      </c>
      <c r="G115" s="213" t="s">
        <v>266</v>
      </c>
    </row>
    <row r="116" spans="2:7" s="15" customFormat="1" ht="15" x14ac:dyDescent="0.25">
      <c r="B116" s="16"/>
      <c r="C116" s="207" t="s">
        <v>303</v>
      </c>
      <c r="D116" s="198">
        <v>1</v>
      </c>
      <c r="E116" s="198" t="s">
        <v>97</v>
      </c>
      <c r="F116" s="198">
        <v>15000</v>
      </c>
      <c r="G116" s="213" t="s">
        <v>266</v>
      </c>
    </row>
    <row r="117" spans="2:7" s="15" customFormat="1" ht="15" x14ac:dyDescent="0.25">
      <c r="B117" s="16"/>
      <c r="C117" s="207"/>
      <c r="D117" s="198"/>
      <c r="E117" s="198"/>
      <c r="F117" s="198"/>
      <c r="G117" s="88"/>
    </row>
    <row r="118" spans="2:7" s="15" customFormat="1" ht="15" x14ac:dyDescent="0.25">
      <c r="B118" s="16"/>
      <c r="C118" s="202" t="s">
        <v>233</v>
      </c>
      <c r="D118" s="198">
        <v>10</v>
      </c>
      <c r="E118" s="198" t="s">
        <v>301</v>
      </c>
      <c r="F118" s="198">
        <v>79816</v>
      </c>
      <c r="G118" s="213">
        <v>798160</v>
      </c>
    </row>
    <row r="119" spans="2:7" s="15" customFormat="1" ht="15" x14ac:dyDescent="0.25">
      <c r="B119" s="16"/>
      <c r="C119" s="207" t="s">
        <v>336</v>
      </c>
      <c r="D119" s="198">
        <v>1</v>
      </c>
      <c r="E119" s="198" t="s">
        <v>97</v>
      </c>
      <c r="F119" s="196">
        <v>52000</v>
      </c>
      <c r="G119" s="213" t="s">
        <v>266</v>
      </c>
    </row>
    <row r="120" spans="2:7" s="15" customFormat="1" ht="15" x14ac:dyDescent="0.25">
      <c r="B120" s="16"/>
      <c r="C120" s="207" t="s">
        <v>337</v>
      </c>
      <c r="D120" s="198">
        <v>1</v>
      </c>
      <c r="E120" s="198" t="s">
        <v>301</v>
      </c>
      <c r="F120" s="196">
        <v>24000</v>
      </c>
      <c r="G120" s="213" t="s">
        <v>266</v>
      </c>
    </row>
    <row r="121" spans="2:7" s="15" customFormat="1" ht="15" x14ac:dyDescent="0.25">
      <c r="B121" s="16"/>
      <c r="C121" s="207" t="s">
        <v>338</v>
      </c>
      <c r="D121" s="198">
        <v>3</v>
      </c>
      <c r="E121" s="198" t="s">
        <v>301</v>
      </c>
      <c r="F121" s="196">
        <v>18000</v>
      </c>
      <c r="G121" s="213" t="s">
        <v>266</v>
      </c>
    </row>
    <row r="122" spans="2:7" s="15" customFormat="1" ht="15" x14ac:dyDescent="0.25">
      <c r="B122" s="16"/>
      <c r="C122" s="207" t="s">
        <v>339</v>
      </c>
      <c r="D122" s="198">
        <v>1</v>
      </c>
      <c r="E122" s="198" t="s">
        <v>301</v>
      </c>
      <c r="F122" s="196">
        <v>7000</v>
      </c>
      <c r="G122" s="213" t="s">
        <v>266</v>
      </c>
    </row>
    <row r="123" spans="2:7" s="15" customFormat="1" ht="15" x14ac:dyDescent="0.25">
      <c r="B123" s="16"/>
      <c r="C123" s="207" t="s">
        <v>340</v>
      </c>
      <c r="D123" s="198">
        <v>22</v>
      </c>
      <c r="E123" s="198" t="s">
        <v>301</v>
      </c>
      <c r="F123" s="196">
        <v>8800</v>
      </c>
      <c r="G123" s="213" t="s">
        <v>266</v>
      </c>
    </row>
    <row r="124" spans="2:7" s="15" customFormat="1" ht="15" x14ac:dyDescent="0.25">
      <c r="B124" s="16"/>
      <c r="C124" s="207" t="s">
        <v>341</v>
      </c>
      <c r="D124" s="198">
        <v>1</v>
      </c>
      <c r="E124" s="198" t="s">
        <v>97</v>
      </c>
      <c r="F124" s="196">
        <v>155000</v>
      </c>
      <c r="G124" s="213" t="s">
        <v>266</v>
      </c>
    </row>
    <row r="125" spans="2:7" s="15" customFormat="1" ht="15" x14ac:dyDescent="0.25">
      <c r="B125" s="16"/>
      <c r="C125" s="207" t="s">
        <v>342</v>
      </c>
      <c r="D125" s="198">
        <v>1</v>
      </c>
      <c r="E125" s="198" t="s">
        <v>97</v>
      </c>
      <c r="F125" s="196">
        <v>102000</v>
      </c>
      <c r="G125" s="213" t="s">
        <v>266</v>
      </c>
    </row>
    <row r="126" spans="2:7" s="15" customFormat="1" ht="15" x14ac:dyDescent="0.25">
      <c r="B126" s="16"/>
      <c r="C126" s="207" t="s">
        <v>343</v>
      </c>
      <c r="D126" s="198">
        <v>1</v>
      </c>
      <c r="E126" s="198" t="s">
        <v>97</v>
      </c>
      <c r="F126" s="196">
        <v>37000</v>
      </c>
      <c r="G126" s="213" t="s">
        <v>266</v>
      </c>
    </row>
    <row r="127" spans="2:7" s="15" customFormat="1" ht="15" x14ac:dyDescent="0.25">
      <c r="B127" s="16"/>
      <c r="C127" s="207" t="s">
        <v>344</v>
      </c>
      <c r="D127" s="198">
        <v>1</v>
      </c>
      <c r="E127" s="198" t="s">
        <v>97</v>
      </c>
      <c r="F127" s="196">
        <v>16000</v>
      </c>
      <c r="G127" s="213" t="s">
        <v>266</v>
      </c>
    </row>
    <row r="128" spans="2:7" s="15" customFormat="1" ht="15" x14ac:dyDescent="0.25">
      <c r="B128" s="16"/>
      <c r="C128" s="207" t="s">
        <v>345</v>
      </c>
      <c r="D128" s="198">
        <v>1</v>
      </c>
      <c r="E128" s="198" t="s">
        <v>97</v>
      </c>
      <c r="F128" s="196">
        <v>39000</v>
      </c>
      <c r="G128" s="213" t="s">
        <v>266</v>
      </c>
    </row>
    <row r="129" spans="2:7" s="15" customFormat="1" ht="15" x14ac:dyDescent="0.25">
      <c r="B129" s="16"/>
      <c r="C129" s="207" t="s">
        <v>346</v>
      </c>
      <c r="D129" s="198">
        <v>48</v>
      </c>
      <c r="E129" s="198" t="s">
        <v>141</v>
      </c>
      <c r="F129" s="196">
        <v>18240</v>
      </c>
      <c r="G129" s="213" t="s">
        <v>266</v>
      </c>
    </row>
    <row r="130" spans="2:7" s="15" customFormat="1" ht="15" x14ac:dyDescent="0.25">
      <c r="B130" s="16"/>
      <c r="C130" s="207" t="s">
        <v>347</v>
      </c>
      <c r="D130" s="198">
        <v>44</v>
      </c>
      <c r="E130" s="198" t="s">
        <v>141</v>
      </c>
      <c r="F130" s="196">
        <v>10560</v>
      </c>
      <c r="G130" s="213" t="s">
        <v>266</v>
      </c>
    </row>
    <row r="131" spans="2:7" s="15" customFormat="1" ht="15" x14ac:dyDescent="0.25">
      <c r="B131" s="16"/>
      <c r="C131" s="207" t="s">
        <v>348</v>
      </c>
      <c r="D131" s="198">
        <v>1</v>
      </c>
      <c r="E131" s="198" t="s">
        <v>97</v>
      </c>
      <c r="F131" s="196">
        <v>10200</v>
      </c>
      <c r="G131" s="213" t="s">
        <v>266</v>
      </c>
    </row>
    <row r="132" spans="2:7" s="15" customFormat="1" ht="15" x14ac:dyDescent="0.25">
      <c r="B132" s="16"/>
      <c r="C132" s="207" t="s">
        <v>349</v>
      </c>
      <c r="D132" s="198">
        <v>1</v>
      </c>
      <c r="E132" s="198" t="s">
        <v>97</v>
      </c>
      <c r="F132" s="196">
        <v>48000</v>
      </c>
      <c r="G132" s="213" t="s">
        <v>266</v>
      </c>
    </row>
    <row r="133" spans="2:7" s="15" customFormat="1" ht="15" x14ac:dyDescent="0.25">
      <c r="B133" s="16"/>
      <c r="C133" s="207" t="s">
        <v>350</v>
      </c>
      <c r="D133" s="198">
        <v>52</v>
      </c>
      <c r="E133" s="198" t="s">
        <v>141</v>
      </c>
      <c r="F133" s="196">
        <v>35360</v>
      </c>
      <c r="G133" s="213" t="s">
        <v>266</v>
      </c>
    </row>
    <row r="134" spans="2:7" s="15" customFormat="1" ht="15" x14ac:dyDescent="0.25">
      <c r="B134" s="16"/>
      <c r="C134" s="207" t="s">
        <v>351</v>
      </c>
      <c r="D134" s="198">
        <v>12</v>
      </c>
      <c r="E134" s="198" t="s">
        <v>141</v>
      </c>
      <c r="F134" s="196">
        <v>10800</v>
      </c>
      <c r="G134" s="213" t="s">
        <v>266</v>
      </c>
    </row>
    <row r="135" spans="2:7" s="15" customFormat="1" ht="15" x14ac:dyDescent="0.25">
      <c r="B135" s="16"/>
      <c r="C135" s="207" t="s">
        <v>352</v>
      </c>
      <c r="D135" s="198">
        <v>6</v>
      </c>
      <c r="E135" s="198" t="s">
        <v>141</v>
      </c>
      <c r="F135" s="196">
        <v>4200</v>
      </c>
      <c r="G135" s="213" t="s">
        <v>266</v>
      </c>
    </row>
    <row r="136" spans="2:7" s="15" customFormat="1" ht="15" x14ac:dyDescent="0.25">
      <c r="B136" s="16"/>
      <c r="C136" s="207" t="s">
        <v>353</v>
      </c>
      <c r="D136" s="198">
        <v>1</v>
      </c>
      <c r="E136" s="198" t="s">
        <v>97</v>
      </c>
      <c r="F136" s="196">
        <v>45000</v>
      </c>
      <c r="G136" s="213" t="s">
        <v>266</v>
      </c>
    </row>
    <row r="137" spans="2:7" s="15" customFormat="1" ht="15" x14ac:dyDescent="0.25">
      <c r="B137" s="16"/>
      <c r="C137" s="207" t="s">
        <v>354</v>
      </c>
      <c r="D137" s="198">
        <v>10</v>
      </c>
      <c r="E137" s="198" t="s">
        <v>141</v>
      </c>
      <c r="F137" s="196">
        <v>22000</v>
      </c>
      <c r="G137" s="213" t="s">
        <v>266</v>
      </c>
    </row>
    <row r="138" spans="2:7" s="15" customFormat="1" ht="15" x14ac:dyDescent="0.25">
      <c r="B138" s="16"/>
      <c r="C138" s="207" t="s">
        <v>355</v>
      </c>
      <c r="D138" s="198">
        <v>12</v>
      </c>
      <c r="E138" s="198" t="s">
        <v>141</v>
      </c>
      <c r="F138" s="196">
        <v>21600</v>
      </c>
      <c r="G138" s="213" t="s">
        <v>266</v>
      </c>
    </row>
    <row r="139" spans="2:7" s="15" customFormat="1" ht="15" x14ac:dyDescent="0.25">
      <c r="B139" s="16"/>
      <c r="C139" s="207" t="s">
        <v>356</v>
      </c>
      <c r="D139" s="198">
        <v>1</v>
      </c>
      <c r="E139" s="198" t="s">
        <v>97</v>
      </c>
      <c r="F139" s="196">
        <v>1400</v>
      </c>
      <c r="G139" s="213" t="s">
        <v>266</v>
      </c>
    </row>
    <row r="140" spans="2:7" s="15" customFormat="1" ht="15" x14ac:dyDescent="0.25">
      <c r="B140" s="16"/>
      <c r="C140" s="207" t="s">
        <v>357</v>
      </c>
      <c r="D140" s="198">
        <v>1</v>
      </c>
      <c r="E140" s="198" t="s">
        <v>97</v>
      </c>
      <c r="F140" s="196">
        <v>112000</v>
      </c>
      <c r="G140" s="213" t="s">
        <v>266</v>
      </c>
    </row>
    <row r="141" spans="2:7" s="15" customFormat="1" ht="15" x14ac:dyDescent="0.25">
      <c r="B141" s="16"/>
      <c r="C141" s="207"/>
      <c r="D141" s="198"/>
      <c r="E141" s="198"/>
      <c r="F141" s="196"/>
      <c r="G141" s="88"/>
    </row>
    <row r="142" spans="2:7" s="15" customFormat="1" ht="15" x14ac:dyDescent="0.25">
      <c r="B142" s="16"/>
      <c r="C142" s="197" t="s">
        <v>358</v>
      </c>
      <c r="D142" s="198">
        <f>+XI.!C9</f>
        <v>1</v>
      </c>
      <c r="E142" s="198" t="str">
        <f>+XI.!E9</f>
        <v>lot</v>
      </c>
      <c r="F142" s="196">
        <v>207500</v>
      </c>
      <c r="G142" s="213">
        <v>207500</v>
      </c>
    </row>
    <row r="143" spans="2:7" s="15" customFormat="1" ht="15" x14ac:dyDescent="0.25">
      <c r="B143" s="208"/>
      <c r="C143" s="211" t="s">
        <v>359</v>
      </c>
      <c r="D143" s="210">
        <v>1</v>
      </c>
      <c r="E143" s="210" t="s">
        <v>270</v>
      </c>
      <c r="F143" s="196">
        <v>59000</v>
      </c>
      <c r="G143" s="213" t="s">
        <v>266</v>
      </c>
    </row>
    <row r="144" spans="2:7" s="15" customFormat="1" ht="15" x14ac:dyDescent="0.25">
      <c r="B144" s="208"/>
      <c r="C144" s="211" t="s">
        <v>360</v>
      </c>
      <c r="D144" s="210">
        <v>0.7</v>
      </c>
      <c r="E144" s="210" t="s">
        <v>270</v>
      </c>
      <c r="F144" s="196">
        <v>41300</v>
      </c>
      <c r="G144" s="213" t="s">
        <v>266</v>
      </c>
    </row>
    <row r="145" spans="2:7" s="15" customFormat="1" ht="15" x14ac:dyDescent="0.25">
      <c r="B145" s="208"/>
      <c r="C145" s="211" t="s">
        <v>361</v>
      </c>
      <c r="D145" s="210">
        <v>1</v>
      </c>
      <c r="E145" s="210" t="s">
        <v>97</v>
      </c>
      <c r="F145" s="196">
        <v>10700</v>
      </c>
      <c r="G145" s="213" t="s">
        <v>266</v>
      </c>
    </row>
    <row r="146" spans="2:7" s="15" customFormat="1" ht="15" x14ac:dyDescent="0.25">
      <c r="B146" s="208"/>
      <c r="C146" s="211" t="s">
        <v>323</v>
      </c>
      <c r="D146" s="210">
        <v>1</v>
      </c>
      <c r="E146" s="210" t="s">
        <v>97</v>
      </c>
      <c r="F146" s="196">
        <v>9000</v>
      </c>
      <c r="G146" s="213" t="s">
        <v>266</v>
      </c>
    </row>
    <row r="147" spans="2:7" s="15" customFormat="1" ht="15" x14ac:dyDescent="0.25">
      <c r="B147" s="208"/>
      <c r="C147" s="211" t="s">
        <v>362</v>
      </c>
      <c r="D147" s="210">
        <v>135</v>
      </c>
      <c r="E147" s="210" t="s">
        <v>84</v>
      </c>
      <c r="F147" s="196">
        <v>64800</v>
      </c>
      <c r="G147" s="213" t="s">
        <v>266</v>
      </c>
    </row>
    <row r="148" spans="2:7" s="15" customFormat="1" ht="15" x14ac:dyDescent="0.25">
      <c r="B148" s="208"/>
      <c r="C148" s="211" t="s">
        <v>363</v>
      </c>
      <c r="D148" s="210">
        <v>1</v>
      </c>
      <c r="E148" s="210" t="s">
        <v>97</v>
      </c>
      <c r="F148" s="196">
        <v>6500</v>
      </c>
      <c r="G148" s="213" t="s">
        <v>266</v>
      </c>
    </row>
    <row r="149" spans="2:7" s="15" customFormat="1" ht="15" x14ac:dyDescent="0.25">
      <c r="B149" s="208"/>
      <c r="C149" s="211" t="s">
        <v>303</v>
      </c>
      <c r="D149" s="210">
        <v>135</v>
      </c>
      <c r="E149" s="210" t="s">
        <v>84</v>
      </c>
      <c r="F149" s="196">
        <v>16200</v>
      </c>
      <c r="G149" s="213" t="s">
        <v>266</v>
      </c>
    </row>
    <row r="150" spans="2:7" s="15" customFormat="1" ht="15" x14ac:dyDescent="0.25">
      <c r="B150" s="208"/>
      <c r="C150" s="211"/>
      <c r="D150" s="210"/>
      <c r="E150" s="210"/>
      <c r="F150" s="196"/>
      <c r="G150" s="217"/>
    </row>
    <row r="151" spans="2:7" s="15" customFormat="1" ht="15.75" thickBot="1" x14ac:dyDescent="0.3">
      <c r="B151" s="208"/>
      <c r="C151" s="209" t="s">
        <v>364</v>
      </c>
      <c r="D151" s="210"/>
      <c r="E151" s="210"/>
      <c r="F151" s="196"/>
      <c r="G151" s="212"/>
    </row>
    <row r="152" spans="2:7" s="15" customFormat="1" ht="15.75" thickBot="1" x14ac:dyDescent="0.3">
      <c r="B152" s="208"/>
      <c r="C152" s="211" t="s">
        <v>365</v>
      </c>
      <c r="D152" s="210">
        <v>50</v>
      </c>
      <c r="E152" s="210" t="s">
        <v>94</v>
      </c>
      <c r="F152" s="196">
        <v>1950</v>
      </c>
      <c r="G152" s="192">
        <v>97500</v>
      </c>
    </row>
    <row r="153" spans="2:7" s="15" customFormat="1" ht="15" x14ac:dyDescent="0.25">
      <c r="B153" s="208"/>
      <c r="C153" s="211" t="s">
        <v>366</v>
      </c>
      <c r="D153" s="210">
        <v>50</v>
      </c>
      <c r="E153" s="210" t="s">
        <v>94</v>
      </c>
      <c r="F153" s="196">
        <v>80000</v>
      </c>
      <c r="G153" s="213" t="s">
        <v>266</v>
      </c>
    </row>
    <row r="154" spans="2:7" s="15" customFormat="1" ht="15" x14ac:dyDescent="0.25">
      <c r="B154" s="208"/>
      <c r="C154" s="211" t="s">
        <v>303</v>
      </c>
      <c r="D154" s="210">
        <v>50</v>
      </c>
      <c r="E154" s="210" t="s">
        <v>94</v>
      </c>
      <c r="F154" s="196">
        <v>17500</v>
      </c>
      <c r="G154" s="213" t="s">
        <v>266</v>
      </c>
    </row>
    <row r="155" spans="2:7" s="15" customFormat="1" ht="15.75" thickBot="1" x14ac:dyDescent="0.3">
      <c r="B155" s="208"/>
      <c r="C155" s="211" t="s">
        <v>367</v>
      </c>
      <c r="D155" s="210">
        <v>1</v>
      </c>
      <c r="E155" s="210" t="s">
        <v>301</v>
      </c>
      <c r="F155" s="196">
        <v>25000</v>
      </c>
      <c r="G155" s="192">
        <v>25000</v>
      </c>
    </row>
    <row r="156" spans="2:7" s="15" customFormat="1" ht="15" x14ac:dyDescent="0.25">
      <c r="B156" s="208"/>
      <c r="C156" s="211" t="s">
        <v>368</v>
      </c>
      <c r="D156" s="210">
        <v>1</v>
      </c>
      <c r="E156" s="210" t="s">
        <v>301</v>
      </c>
      <c r="F156" s="196">
        <v>20000</v>
      </c>
      <c r="G156" s="213" t="s">
        <v>266</v>
      </c>
    </row>
    <row r="157" spans="2:7" s="15" customFormat="1" ht="15" x14ac:dyDescent="0.25">
      <c r="B157" s="208"/>
      <c r="C157" s="211" t="s">
        <v>369</v>
      </c>
      <c r="D157" s="210">
        <v>1</v>
      </c>
      <c r="E157" s="210" t="s">
        <v>301</v>
      </c>
      <c r="F157" s="196">
        <v>5000</v>
      </c>
      <c r="G157" s="213" t="s">
        <v>266</v>
      </c>
    </row>
    <row r="158" spans="2:7" s="15" customFormat="1" ht="15.75" thickBot="1" x14ac:dyDescent="0.3">
      <c r="B158" s="208"/>
      <c r="C158" s="211" t="s">
        <v>370</v>
      </c>
      <c r="D158" s="210">
        <v>50</v>
      </c>
      <c r="E158" s="210" t="s">
        <v>84</v>
      </c>
      <c r="F158" s="196">
        <v>5000</v>
      </c>
      <c r="G158" s="192">
        <v>51900</v>
      </c>
    </row>
    <row r="159" spans="2:7" s="15" customFormat="1" ht="15" x14ac:dyDescent="0.25">
      <c r="B159" s="208"/>
      <c r="C159" s="211" t="s">
        <v>371</v>
      </c>
      <c r="D159" s="210">
        <v>50</v>
      </c>
      <c r="E159" s="210" t="s">
        <v>84</v>
      </c>
      <c r="F159" s="196">
        <v>10400</v>
      </c>
      <c r="G159" s="213" t="s">
        <v>266</v>
      </c>
    </row>
    <row r="160" spans="2:7" s="15" customFormat="1" ht="15" x14ac:dyDescent="0.25">
      <c r="B160" s="208"/>
      <c r="C160" s="211" t="s">
        <v>372</v>
      </c>
      <c r="D160" s="210">
        <v>50</v>
      </c>
      <c r="E160" s="210" t="s">
        <v>84</v>
      </c>
      <c r="F160" s="196">
        <v>34000</v>
      </c>
      <c r="G160" s="213" t="s">
        <v>266</v>
      </c>
    </row>
    <row r="161" spans="1:11" s="15" customFormat="1" ht="15" x14ac:dyDescent="0.25">
      <c r="B161" s="208"/>
      <c r="C161" s="211" t="s">
        <v>373</v>
      </c>
      <c r="D161" s="210">
        <v>50</v>
      </c>
      <c r="E161" s="210" t="s">
        <v>84</v>
      </c>
      <c r="F161" s="196">
        <v>7500</v>
      </c>
      <c r="G161" s="213" t="s">
        <v>266</v>
      </c>
    </row>
    <row r="162" spans="1:11" s="15" customFormat="1" ht="15.75" thickBot="1" x14ac:dyDescent="0.3">
      <c r="B162" s="208"/>
      <c r="C162" s="211"/>
      <c r="D162" s="210"/>
      <c r="E162" s="210"/>
      <c r="F162" s="196"/>
      <c r="G162" s="212"/>
    </row>
    <row r="163" spans="1:11" ht="15.75" thickBot="1" x14ac:dyDescent="0.3">
      <c r="A163" s="15"/>
      <c r="B163" s="233" t="s">
        <v>57</v>
      </c>
      <c r="C163" s="234"/>
      <c r="D163" s="234"/>
      <c r="E163" s="234"/>
      <c r="F163" s="235"/>
      <c r="G163" s="212">
        <f>+SUM(G10:G161)</f>
        <v>8556825</v>
      </c>
      <c r="J163" s="222"/>
    </row>
    <row r="164" spans="1:11" x14ac:dyDescent="0.2">
      <c r="J164" s="223"/>
      <c r="K164" s="220"/>
    </row>
    <row r="165" spans="1:11" x14ac:dyDescent="0.2">
      <c r="F165" s="218" t="s">
        <v>378</v>
      </c>
      <c r="G165" s="214">
        <f>+G163-(G163*0.03)</f>
        <v>8300120.25</v>
      </c>
      <c r="J165" s="223"/>
      <c r="K165" s="219"/>
    </row>
    <row r="166" spans="1:11" x14ac:dyDescent="0.2">
      <c r="J166" s="223"/>
      <c r="K166" s="219"/>
    </row>
    <row r="167" spans="1:11" x14ac:dyDescent="0.2">
      <c r="C167" s="1" t="s">
        <v>379</v>
      </c>
      <c r="J167" s="223"/>
      <c r="K167" s="221"/>
    </row>
    <row r="168" spans="1:11" x14ac:dyDescent="0.2">
      <c r="C168" s="1" t="s">
        <v>377</v>
      </c>
      <c r="J168" s="224"/>
    </row>
    <row r="171" spans="1:11" x14ac:dyDescent="0.2">
      <c r="C171" s="1" t="s">
        <v>375</v>
      </c>
    </row>
    <row r="172" spans="1:11" x14ac:dyDescent="0.2">
      <c r="C172" s="1" t="s">
        <v>376</v>
      </c>
    </row>
  </sheetData>
  <mergeCells count="2">
    <mergeCell ref="B163:F163"/>
    <mergeCell ref="B7:G7"/>
  </mergeCells>
  <pageMargins left="0.7" right="0.7" top="0.75" bottom="0.75" header="0.3" footer="0.3"/>
  <pageSetup paperSiz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4"/>
  <sheetViews>
    <sheetView topLeftCell="A12" workbookViewId="0">
      <selection activeCell="G23" sqref="G23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2.5703125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 t="str">
        <f>+BOQ!B9</f>
        <v>I.</v>
      </c>
    </row>
    <row r="7" spans="2:11" ht="15" x14ac:dyDescent="0.25">
      <c r="B7" s="7" t="s">
        <v>48</v>
      </c>
      <c r="C7" s="19" t="str">
        <f>+BOQ!C9</f>
        <v>General Requirements</v>
      </c>
    </row>
    <row r="8" spans="2:11" s="21" customFormat="1" ht="15" x14ac:dyDescent="0.25">
      <c r="B8" s="20" t="s">
        <v>47</v>
      </c>
      <c r="C8" s="23">
        <f>+BOQ!B11</f>
        <v>0</v>
      </c>
      <c r="D8" s="22"/>
      <c r="E8" s="22"/>
      <c r="F8" s="22"/>
      <c r="G8" s="22"/>
    </row>
    <row r="9" spans="2:11" s="21" customFormat="1" ht="15" x14ac:dyDescent="0.25">
      <c r="B9" s="20" t="s">
        <v>49</v>
      </c>
      <c r="C9" s="23" t="str">
        <f>+BOQ!C11</f>
        <v>Project Billboard and Signages</v>
      </c>
      <c r="D9" s="22"/>
      <c r="E9" s="22"/>
      <c r="F9" s="22"/>
      <c r="G9" s="22"/>
    </row>
    <row r="10" spans="2:11" x14ac:dyDescent="0.2">
      <c r="B10" s="7"/>
    </row>
    <row r="11" spans="2:11" x14ac:dyDescent="0.2">
      <c r="B11" s="21" t="s">
        <v>45</v>
      </c>
      <c r="C11" s="76">
        <v>6</v>
      </c>
      <c r="D11" s="21" t="s">
        <v>44</v>
      </c>
      <c r="E11" s="77" t="s">
        <v>188</v>
      </c>
      <c r="F11" s="22"/>
      <c r="G11" s="22"/>
      <c r="H11" s="21"/>
      <c r="I11" s="21"/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16" t="s">
        <v>4</v>
      </c>
      <c r="E16" s="116" t="s">
        <v>5</v>
      </c>
      <c r="F16" s="11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/>
      <c r="C17" s="244"/>
      <c r="D17" s="113"/>
      <c r="E17" s="113"/>
      <c r="F17" s="113"/>
      <c r="G17" s="30"/>
      <c r="H17" s="21"/>
      <c r="I17" s="21"/>
      <c r="J17" s="21"/>
      <c r="K17" s="21"/>
    </row>
    <row r="18" spans="2:11" s="5" customFormat="1" ht="40.5" customHeight="1" x14ac:dyDescent="0.25">
      <c r="B18" s="262" t="s">
        <v>190</v>
      </c>
      <c r="C18" s="263"/>
      <c r="D18" s="158">
        <v>8</v>
      </c>
      <c r="E18" s="158" t="str">
        <f>+E11</f>
        <v>months</v>
      </c>
      <c r="F18" s="158">
        <v>3000</v>
      </c>
      <c r="G18" s="88">
        <f>+D18*F18</f>
        <v>24000</v>
      </c>
      <c r="H18" s="82"/>
      <c r="I18" s="82"/>
      <c r="J18" s="82"/>
      <c r="K18" s="82"/>
    </row>
    <row r="19" spans="2:11" x14ac:dyDescent="0.2">
      <c r="B19" s="243"/>
      <c r="C19" s="244"/>
      <c r="D19" s="113"/>
      <c r="E19" s="113"/>
      <c r="F19" s="113"/>
      <c r="G19" s="30"/>
      <c r="H19" s="21"/>
      <c r="I19" s="21"/>
      <c r="J19" s="21"/>
      <c r="K19" s="21"/>
    </row>
    <row r="20" spans="2:11" x14ac:dyDescent="0.2">
      <c r="B20" s="243"/>
      <c r="C20" s="244"/>
      <c r="D20" s="113"/>
      <c r="E20" s="113"/>
      <c r="F20" s="113"/>
      <c r="G20" s="30"/>
      <c r="H20" s="21"/>
      <c r="I20" s="21"/>
      <c r="J20" s="21"/>
      <c r="K20" s="21"/>
    </row>
    <row r="21" spans="2:11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24000</v>
      </c>
      <c r="H21" s="21"/>
      <c r="I21" s="21"/>
      <c r="J21" s="21"/>
      <c r="K21" s="21"/>
    </row>
    <row r="22" spans="2:11" ht="15" thickBot="1" x14ac:dyDescent="0.25">
      <c r="B22" s="255" t="s">
        <v>75</v>
      </c>
      <c r="C22" s="256"/>
      <c r="D22" s="256"/>
      <c r="E22" s="256"/>
      <c r="F22" s="256"/>
      <c r="G22" s="257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14" t="s">
        <v>3</v>
      </c>
      <c r="E23" s="114" t="s">
        <v>68</v>
      </c>
      <c r="F23" s="114" t="s">
        <v>69</v>
      </c>
      <c r="G23" s="51" t="s">
        <v>7</v>
      </c>
      <c r="H23" s="33"/>
      <c r="I23" s="33"/>
      <c r="J23" s="33"/>
      <c r="K23" s="33"/>
    </row>
    <row r="24" spans="2:11" s="21" customFormat="1" x14ac:dyDescent="0.2">
      <c r="B24" s="264" t="s">
        <v>71</v>
      </c>
      <c r="C24" s="265"/>
      <c r="D24" s="113">
        <v>1</v>
      </c>
      <c r="E24" s="113">
        <v>2000</v>
      </c>
      <c r="F24" s="113">
        <v>0</v>
      </c>
      <c r="G24" s="30">
        <f>+D24*E24*F24</f>
        <v>0</v>
      </c>
    </row>
    <row r="25" spans="2:11" x14ac:dyDescent="0.2">
      <c r="B25" s="264"/>
      <c r="C25" s="265"/>
      <c r="D25" s="113"/>
      <c r="E25" s="113"/>
      <c r="F25" s="113"/>
      <c r="G25" s="30"/>
      <c r="H25" s="21"/>
      <c r="I25" s="21"/>
      <c r="J25" s="21"/>
      <c r="K25" s="21"/>
    </row>
    <row r="26" spans="2:11" x14ac:dyDescent="0.2">
      <c r="B26" s="243"/>
      <c r="C26" s="244"/>
      <c r="D26" s="113"/>
      <c r="E26" s="113"/>
      <c r="F26" s="113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+SUM(G25:G26)</f>
        <v>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11" t="s">
        <v>3</v>
      </c>
      <c r="E29" s="111" t="s">
        <v>68</v>
      </c>
      <c r="F29" s="111" t="s">
        <v>69</v>
      </c>
      <c r="G29" s="32" t="s">
        <v>7</v>
      </c>
      <c r="H29" s="21"/>
      <c r="I29" s="21"/>
      <c r="J29" s="21"/>
      <c r="K29" s="21"/>
    </row>
    <row r="30" spans="2:11" s="21" customFormat="1" x14ac:dyDescent="0.2">
      <c r="B30" s="243"/>
      <c r="C30" s="244"/>
      <c r="D30" s="113"/>
      <c r="E30" s="113"/>
      <c r="F30" s="113"/>
      <c r="G30" s="30"/>
    </row>
    <row r="31" spans="2:11" x14ac:dyDescent="0.2">
      <c r="B31" s="243"/>
      <c r="C31" s="244"/>
      <c r="D31" s="113"/>
      <c r="E31" s="113"/>
      <c r="F31" s="113"/>
      <c r="G31" s="30"/>
      <c r="H31" s="21"/>
      <c r="I31" s="21"/>
      <c r="J31" s="21"/>
      <c r="K31" s="21"/>
    </row>
    <row r="32" spans="2:11" ht="15" thickBot="1" x14ac:dyDescent="0.25">
      <c r="B32" s="258" t="s">
        <v>53</v>
      </c>
      <c r="C32" s="259"/>
      <c r="D32" s="259"/>
      <c r="E32" s="259"/>
      <c r="F32" s="259"/>
      <c r="G32" s="67">
        <f>+SUM(G24:G31)</f>
        <v>0</v>
      </c>
      <c r="H32" s="21"/>
      <c r="I32" s="21"/>
      <c r="J32" s="21"/>
      <c r="K32" s="21"/>
    </row>
    <row r="33" spans="2:11" ht="15.75" thickBot="1" x14ac:dyDescent="0.3">
      <c r="B33" s="239" t="s">
        <v>77</v>
      </c>
      <c r="C33" s="240"/>
      <c r="D33" s="240"/>
      <c r="E33" s="240"/>
      <c r="F33" s="240"/>
      <c r="G33" s="52">
        <f>+SUM(G21,G27,G32)</f>
        <v>24000</v>
      </c>
      <c r="H33" s="21"/>
      <c r="I33" s="21"/>
      <c r="J33" s="21"/>
      <c r="K33" s="21"/>
    </row>
    <row r="34" spans="2:11" x14ac:dyDescent="0.2">
      <c r="B34" s="247"/>
      <c r="C34" s="248"/>
      <c r="D34" s="248"/>
      <c r="E34" s="248"/>
      <c r="F34" s="248"/>
      <c r="G34" s="34"/>
      <c r="H34" s="21"/>
      <c r="I34" s="21"/>
      <c r="J34" s="21"/>
      <c r="K34" s="21"/>
    </row>
    <row r="35" spans="2:11" x14ac:dyDescent="0.2">
      <c r="B35" s="249" t="s">
        <v>149</v>
      </c>
      <c r="C35" s="250"/>
      <c r="D35" s="250"/>
      <c r="E35" s="137">
        <v>0.01</v>
      </c>
      <c r="F35" s="80" t="s">
        <v>80</v>
      </c>
      <c r="G35" s="34">
        <v>0</v>
      </c>
      <c r="H35" s="21"/>
      <c r="I35" s="21"/>
      <c r="J35" s="21"/>
      <c r="K35" s="21"/>
    </row>
    <row r="36" spans="2:11" ht="14.65" customHeight="1" x14ac:dyDescent="0.2">
      <c r="B36" s="78" t="s">
        <v>79</v>
      </c>
      <c r="C36" s="76"/>
      <c r="D36" s="58"/>
      <c r="E36" s="138">
        <v>0.12</v>
      </c>
      <c r="F36" s="80" t="s">
        <v>80</v>
      </c>
      <c r="G36" s="81">
        <v>0</v>
      </c>
      <c r="H36" s="82"/>
      <c r="I36" s="82"/>
      <c r="J36" s="82"/>
      <c r="K36" s="82"/>
    </row>
    <row r="37" spans="2:11" x14ac:dyDescent="0.2">
      <c r="B37" s="245" t="s">
        <v>81</v>
      </c>
      <c r="C37" s="246"/>
      <c r="D37" s="56"/>
      <c r="E37" s="135">
        <v>0.08</v>
      </c>
      <c r="F37" s="71" t="s">
        <v>80</v>
      </c>
      <c r="G37" s="70">
        <v>0</v>
      </c>
      <c r="H37" s="21"/>
      <c r="I37" s="21"/>
      <c r="J37" s="21"/>
      <c r="K37" s="21"/>
    </row>
    <row r="38" spans="2:11" ht="15" thickBot="1" x14ac:dyDescent="0.25">
      <c r="B38" s="251" t="s">
        <v>78</v>
      </c>
      <c r="C38" s="252"/>
      <c r="D38" s="57"/>
      <c r="E38" s="136">
        <v>0.05</v>
      </c>
      <c r="F38" s="72" t="s">
        <v>82</v>
      </c>
      <c r="G38" s="70">
        <f>+E38*(G33+G36+G37)</f>
        <v>1200</v>
      </c>
      <c r="H38" s="21"/>
      <c r="I38" s="21"/>
      <c r="J38" s="21"/>
      <c r="K38" s="21"/>
    </row>
    <row r="39" spans="2:11" ht="15.75" thickBot="1" x14ac:dyDescent="0.3">
      <c r="B39" s="239" t="s">
        <v>55</v>
      </c>
      <c r="C39" s="240"/>
      <c r="D39" s="240"/>
      <c r="E39" s="240"/>
      <c r="F39" s="240"/>
      <c r="G39" s="38">
        <f>+SUM(G35:G38)</f>
        <v>1200</v>
      </c>
      <c r="H39" s="21"/>
      <c r="I39" s="21"/>
      <c r="J39" s="21"/>
      <c r="K39" s="21"/>
    </row>
    <row r="40" spans="2:11" ht="15.75" thickBot="1" x14ac:dyDescent="0.3">
      <c r="B40" s="53"/>
      <c r="C40" s="54"/>
      <c r="D40" s="54"/>
      <c r="E40" s="54"/>
      <c r="F40" s="55"/>
      <c r="G40" s="35"/>
      <c r="H40" s="21"/>
      <c r="I40" s="21"/>
      <c r="J40" s="21"/>
      <c r="K40" s="21"/>
    </row>
    <row r="41" spans="2:11" ht="15.75" thickBot="1" x14ac:dyDescent="0.3">
      <c r="B41" s="236" t="s">
        <v>57</v>
      </c>
      <c r="C41" s="237"/>
      <c r="D41" s="237"/>
      <c r="E41" s="237"/>
      <c r="F41" s="238"/>
      <c r="G41" s="38">
        <f>+SUM(G33,G39)</f>
        <v>25200</v>
      </c>
      <c r="H41" s="21"/>
      <c r="I41" s="21"/>
      <c r="J41" s="21"/>
      <c r="K41" s="21"/>
    </row>
    <row r="42" spans="2:11" ht="15.75" thickBot="1" x14ac:dyDescent="0.3">
      <c r="B42" s="239" t="s">
        <v>56</v>
      </c>
      <c r="C42" s="240"/>
      <c r="D42" s="240"/>
      <c r="E42" s="240"/>
      <c r="F42" s="240"/>
      <c r="G42" s="38">
        <f>+G41/C11</f>
        <v>4200</v>
      </c>
      <c r="H42" s="21"/>
      <c r="I42" s="21"/>
      <c r="J42" s="21"/>
      <c r="K42" s="21"/>
    </row>
    <row r="43" spans="2:11" x14ac:dyDescent="0.2">
      <c r="B43" s="21"/>
      <c r="C43" s="21"/>
      <c r="D43" s="22"/>
      <c r="E43" s="22"/>
      <c r="F43" s="22"/>
      <c r="G43" s="22"/>
      <c r="H43" s="21"/>
      <c r="I43" s="21"/>
      <c r="J43" s="21"/>
      <c r="K43" s="21"/>
    </row>
    <row r="44" spans="2:11" x14ac:dyDescent="0.2">
      <c r="B44" s="21"/>
      <c r="C44" s="21"/>
      <c r="D44" s="22"/>
      <c r="E44" s="22"/>
      <c r="F44" s="22"/>
      <c r="G44" s="22"/>
      <c r="H44" s="21"/>
      <c r="I44" s="21"/>
      <c r="J44" s="21"/>
      <c r="K44" s="21"/>
    </row>
  </sheetData>
  <mergeCells count="26">
    <mergeCell ref="B25:C25"/>
    <mergeCell ref="B20:C20"/>
    <mergeCell ref="B23:C23"/>
    <mergeCell ref="B21:F21"/>
    <mergeCell ref="B22:G22"/>
    <mergeCell ref="B24:C24"/>
    <mergeCell ref="B15:G15"/>
    <mergeCell ref="B16:C16"/>
    <mergeCell ref="B17:C17"/>
    <mergeCell ref="B18:C18"/>
    <mergeCell ref="B19:C19"/>
    <mergeCell ref="B27:F27"/>
    <mergeCell ref="B28:G28"/>
    <mergeCell ref="B31:C31"/>
    <mergeCell ref="B32:F32"/>
    <mergeCell ref="B26:C26"/>
    <mergeCell ref="B41:F41"/>
    <mergeCell ref="B42:F42"/>
    <mergeCell ref="B29:C29"/>
    <mergeCell ref="B30:C30"/>
    <mergeCell ref="B37:C37"/>
    <mergeCell ref="B33:F33"/>
    <mergeCell ref="B34:F34"/>
    <mergeCell ref="B35:D35"/>
    <mergeCell ref="B38:C38"/>
    <mergeCell ref="B39:F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3"/>
  <sheetViews>
    <sheetView topLeftCell="A13" workbookViewId="0">
      <selection activeCell="B27" sqref="B27:F27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2.5703125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+BOQ!B34</f>
        <v>0</v>
      </c>
    </row>
    <row r="7" spans="2:11" ht="15" x14ac:dyDescent="0.25">
      <c r="B7" s="7" t="s">
        <v>48</v>
      </c>
      <c r="C7" s="19" t="str">
        <f>+BOQ!C34</f>
        <v>Site Works</v>
      </c>
    </row>
    <row r="8" spans="2:11" s="21" customFormat="1" ht="15" x14ac:dyDescent="0.25">
      <c r="B8" s="20" t="s">
        <v>47</v>
      </c>
      <c r="C8" s="23" t="str">
        <f>+BOQ!B18</f>
        <v>A.2</v>
      </c>
      <c r="D8" s="22"/>
      <c r="E8" s="22"/>
      <c r="F8" s="22"/>
      <c r="G8" s="22"/>
    </row>
    <row r="9" spans="2:11" s="21" customFormat="1" ht="15" x14ac:dyDescent="0.25">
      <c r="B9" s="20" t="s">
        <v>49</v>
      </c>
      <c r="C9" s="23" t="str">
        <f>+BOQ!C18</f>
        <v>Material Testing</v>
      </c>
      <c r="D9" s="22"/>
      <c r="E9" s="22"/>
      <c r="F9" s="22"/>
      <c r="G9" s="22"/>
    </row>
    <row r="10" spans="2:11" x14ac:dyDescent="0.2">
      <c r="B10" s="7"/>
    </row>
    <row r="11" spans="2:11" x14ac:dyDescent="0.2">
      <c r="B11" s="21" t="s">
        <v>45</v>
      </c>
      <c r="C11" s="76">
        <v>1</v>
      </c>
      <c r="D11" s="21" t="s">
        <v>44</v>
      </c>
      <c r="E11" s="77" t="s">
        <v>97</v>
      </c>
      <c r="F11" s="22"/>
      <c r="G11" s="22"/>
      <c r="H11" s="21"/>
      <c r="I11" s="21"/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16" t="s">
        <v>4</v>
      </c>
      <c r="E16" s="116" t="s">
        <v>5</v>
      </c>
      <c r="F16" s="11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/>
      <c r="C17" s="244"/>
      <c r="D17" s="113"/>
      <c r="E17" s="113"/>
      <c r="F17" s="113"/>
      <c r="G17" s="30"/>
      <c r="H17" s="21"/>
      <c r="I17" s="21"/>
      <c r="J17" s="21"/>
      <c r="K17" s="21"/>
    </row>
    <row r="18" spans="2:11" x14ac:dyDescent="0.2">
      <c r="B18" s="243" t="s">
        <v>17</v>
      </c>
      <c r="C18" s="244"/>
      <c r="D18" s="113">
        <f>+C11</f>
        <v>1</v>
      </c>
      <c r="E18" s="113" t="str">
        <f>+E11</f>
        <v>lot</v>
      </c>
      <c r="F18" s="113">
        <v>10000</v>
      </c>
      <c r="G18" s="30">
        <f>+D18*F18</f>
        <v>10000</v>
      </c>
      <c r="H18" s="21"/>
      <c r="I18" s="21"/>
      <c r="J18" s="21"/>
      <c r="K18" s="21"/>
    </row>
    <row r="19" spans="2:11" x14ac:dyDescent="0.2">
      <c r="B19" s="243"/>
      <c r="C19" s="244"/>
      <c r="D19" s="113"/>
      <c r="E19" s="113"/>
      <c r="F19" s="113"/>
      <c r="G19" s="30"/>
      <c r="H19" s="21"/>
      <c r="I19" s="21"/>
      <c r="J19" s="21"/>
      <c r="K19" s="21"/>
    </row>
    <row r="20" spans="2:11" x14ac:dyDescent="0.2">
      <c r="B20" s="243"/>
      <c r="C20" s="244"/>
      <c r="D20" s="113"/>
      <c r="E20" s="113"/>
      <c r="F20" s="113"/>
      <c r="G20" s="30"/>
      <c r="H20" s="21"/>
      <c r="I20" s="21"/>
      <c r="J20" s="21"/>
      <c r="K20" s="21"/>
    </row>
    <row r="21" spans="2:11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10000</v>
      </c>
      <c r="H21" s="21"/>
      <c r="I21" s="21"/>
      <c r="J21" s="21"/>
      <c r="K21" s="21"/>
    </row>
    <row r="22" spans="2:11" ht="15" thickBot="1" x14ac:dyDescent="0.25">
      <c r="B22" s="255" t="s">
        <v>75</v>
      </c>
      <c r="C22" s="256"/>
      <c r="D22" s="256"/>
      <c r="E22" s="256"/>
      <c r="F22" s="256"/>
      <c r="G22" s="257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14" t="s">
        <v>3</v>
      </c>
      <c r="E23" s="114" t="s">
        <v>68</v>
      </c>
      <c r="F23" s="114" t="s">
        <v>69</v>
      </c>
      <c r="G23" s="51" t="s">
        <v>7</v>
      </c>
      <c r="H23" s="33"/>
      <c r="I23" s="33"/>
      <c r="J23" s="33"/>
      <c r="K23" s="33"/>
    </row>
    <row r="24" spans="2:11" s="21" customFormat="1" x14ac:dyDescent="0.2">
      <c r="B24" s="264"/>
      <c r="C24" s="265"/>
      <c r="D24" s="113"/>
      <c r="E24" s="113"/>
      <c r="F24" s="113"/>
      <c r="G24" s="30"/>
    </row>
    <row r="25" spans="2:11" x14ac:dyDescent="0.2">
      <c r="B25" s="264"/>
      <c r="C25" s="265"/>
      <c r="D25" s="113"/>
      <c r="E25" s="113"/>
      <c r="F25" s="113"/>
      <c r="G25" s="30"/>
      <c r="H25" s="21"/>
      <c r="I25" s="21"/>
      <c r="J25" s="21"/>
      <c r="K25" s="21"/>
    </row>
    <row r="26" spans="2:11" x14ac:dyDescent="0.2">
      <c r="B26" s="243"/>
      <c r="C26" s="244"/>
      <c r="D26" s="113"/>
      <c r="E26" s="113"/>
      <c r="F26" s="113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+SUM(G25:G26)</f>
        <v>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11" t="s">
        <v>3</v>
      </c>
      <c r="E29" s="111" t="s">
        <v>68</v>
      </c>
      <c r="F29" s="111" t="s">
        <v>69</v>
      </c>
      <c r="G29" s="32" t="s">
        <v>7</v>
      </c>
      <c r="H29" s="21"/>
      <c r="I29" s="21"/>
      <c r="J29" s="21"/>
      <c r="K29" s="21"/>
    </row>
    <row r="30" spans="2:11" x14ac:dyDescent="0.2">
      <c r="B30" s="243"/>
      <c r="C30" s="244"/>
      <c r="D30" s="113"/>
      <c r="E30" s="113"/>
      <c r="F30" s="113"/>
      <c r="G30" s="30"/>
      <c r="H30" s="21"/>
      <c r="I30" s="21"/>
      <c r="J30" s="21"/>
      <c r="K30" s="21"/>
    </row>
    <row r="31" spans="2:11" ht="15" thickBot="1" x14ac:dyDescent="0.25">
      <c r="B31" s="258" t="s">
        <v>53</v>
      </c>
      <c r="C31" s="259"/>
      <c r="D31" s="259"/>
      <c r="E31" s="259"/>
      <c r="F31" s="259"/>
      <c r="G31" s="67">
        <f>+SUM(G24:G30)</f>
        <v>0</v>
      </c>
      <c r="H31" s="21"/>
      <c r="I31" s="21"/>
      <c r="J31" s="21"/>
      <c r="K31" s="21"/>
    </row>
    <row r="32" spans="2:11" ht="15.75" thickBot="1" x14ac:dyDescent="0.3">
      <c r="B32" s="239" t="s">
        <v>77</v>
      </c>
      <c r="C32" s="240"/>
      <c r="D32" s="240"/>
      <c r="E32" s="240"/>
      <c r="F32" s="240"/>
      <c r="G32" s="52">
        <f>+SUM(G21,G27,G31)</f>
        <v>10000</v>
      </c>
      <c r="H32" s="21"/>
      <c r="I32" s="21"/>
      <c r="J32" s="21"/>
      <c r="K32" s="21"/>
    </row>
    <row r="33" spans="2:11" x14ac:dyDescent="0.2">
      <c r="B33" s="247"/>
      <c r="C33" s="248"/>
      <c r="D33" s="248"/>
      <c r="E33" s="248"/>
      <c r="F33" s="248"/>
      <c r="G33" s="34"/>
      <c r="H33" s="21"/>
      <c r="I33" s="21"/>
      <c r="J33" s="21"/>
      <c r="K33" s="21"/>
    </row>
    <row r="34" spans="2:11" x14ac:dyDescent="0.2">
      <c r="B34" s="249" t="s">
        <v>149</v>
      </c>
      <c r="C34" s="250"/>
      <c r="D34" s="250"/>
      <c r="E34" s="137">
        <v>0.01</v>
      </c>
      <c r="F34" s="80" t="s">
        <v>80</v>
      </c>
      <c r="G34" s="34">
        <v>0</v>
      </c>
      <c r="H34" s="21"/>
      <c r="I34" s="21"/>
      <c r="J34" s="21"/>
      <c r="K34" s="21"/>
    </row>
    <row r="35" spans="2:11" ht="14.65" customHeight="1" x14ac:dyDescent="0.2">
      <c r="B35" s="78" t="s">
        <v>79</v>
      </c>
      <c r="C35" s="76"/>
      <c r="D35" s="58"/>
      <c r="E35" s="138">
        <v>0.12</v>
      </c>
      <c r="F35" s="80" t="s">
        <v>80</v>
      </c>
      <c r="G35" s="81">
        <f>+G32*E35</f>
        <v>1200</v>
      </c>
      <c r="H35" s="82"/>
      <c r="I35" s="82"/>
      <c r="J35" s="82"/>
      <c r="K35" s="82"/>
    </row>
    <row r="36" spans="2:11" x14ac:dyDescent="0.2">
      <c r="B36" s="245" t="s">
        <v>81</v>
      </c>
      <c r="C36" s="246"/>
      <c r="D36" s="56"/>
      <c r="E36" s="135">
        <v>0.08</v>
      </c>
      <c r="F36" s="71" t="s">
        <v>80</v>
      </c>
      <c r="G36" s="70">
        <f>+G32*E36</f>
        <v>800</v>
      </c>
      <c r="H36" s="21"/>
      <c r="I36" s="21"/>
      <c r="J36" s="21"/>
      <c r="K36" s="21"/>
    </row>
    <row r="37" spans="2:11" ht="15" thickBot="1" x14ac:dyDescent="0.25">
      <c r="B37" s="251" t="s">
        <v>78</v>
      </c>
      <c r="C37" s="252"/>
      <c r="D37" s="57"/>
      <c r="E37" s="136">
        <v>0.05</v>
      </c>
      <c r="F37" s="72" t="s">
        <v>82</v>
      </c>
      <c r="G37" s="70">
        <f>+E37*(G32+G35+G36)</f>
        <v>600</v>
      </c>
      <c r="H37" s="21"/>
      <c r="I37" s="21"/>
      <c r="J37" s="21"/>
      <c r="K37" s="21"/>
    </row>
    <row r="38" spans="2:11" ht="15.75" thickBot="1" x14ac:dyDescent="0.3">
      <c r="B38" s="239" t="s">
        <v>55</v>
      </c>
      <c r="C38" s="240"/>
      <c r="D38" s="240"/>
      <c r="E38" s="240"/>
      <c r="F38" s="240"/>
      <c r="G38" s="38">
        <f>+SUM(G34:G37)</f>
        <v>2600</v>
      </c>
      <c r="H38" s="21"/>
      <c r="I38" s="21"/>
      <c r="J38" s="21"/>
      <c r="K38" s="21"/>
    </row>
    <row r="39" spans="2:11" ht="15.75" thickBot="1" x14ac:dyDescent="0.3">
      <c r="B39" s="53"/>
      <c r="C39" s="54"/>
      <c r="D39" s="54"/>
      <c r="E39" s="54"/>
      <c r="F39" s="55"/>
      <c r="G39" s="35"/>
      <c r="H39" s="21"/>
      <c r="I39" s="21"/>
      <c r="J39" s="21"/>
      <c r="K39" s="21"/>
    </row>
    <row r="40" spans="2:11" ht="15.75" thickBot="1" x14ac:dyDescent="0.3">
      <c r="B40" s="236" t="s">
        <v>57</v>
      </c>
      <c r="C40" s="237"/>
      <c r="D40" s="237"/>
      <c r="E40" s="237"/>
      <c r="F40" s="238"/>
      <c r="G40" s="38">
        <f>+SUM(G32,G38)</f>
        <v>12600</v>
      </c>
      <c r="H40" s="21"/>
      <c r="I40" s="21"/>
      <c r="J40" s="21"/>
      <c r="K40" s="21"/>
    </row>
    <row r="41" spans="2:11" ht="15.75" thickBot="1" x14ac:dyDescent="0.3">
      <c r="B41" s="239" t="s">
        <v>56</v>
      </c>
      <c r="C41" s="240"/>
      <c r="D41" s="240"/>
      <c r="E41" s="240"/>
      <c r="F41" s="240"/>
      <c r="G41" s="38">
        <f>+G40/C11</f>
        <v>12600</v>
      </c>
      <c r="H41" s="21"/>
      <c r="I41" s="21"/>
      <c r="J41" s="21"/>
      <c r="K41" s="21"/>
    </row>
    <row r="42" spans="2:11" x14ac:dyDescent="0.2">
      <c r="B42" s="21"/>
      <c r="C42" s="21"/>
      <c r="D42" s="22"/>
      <c r="E42" s="22"/>
      <c r="F42" s="22"/>
      <c r="G42" s="22"/>
      <c r="H42" s="21"/>
      <c r="I42" s="21"/>
      <c r="J42" s="21"/>
      <c r="K42" s="21"/>
    </row>
    <row r="43" spans="2:11" x14ac:dyDescent="0.2">
      <c r="B43" s="21"/>
      <c r="C43" s="21"/>
      <c r="D43" s="22"/>
      <c r="E43" s="22"/>
      <c r="F43" s="22"/>
      <c r="G43" s="22"/>
      <c r="H43" s="21"/>
      <c r="I43" s="21"/>
      <c r="J43" s="21"/>
      <c r="K43" s="21"/>
    </row>
  </sheetData>
  <mergeCells count="25">
    <mergeCell ref="B26:C26"/>
    <mergeCell ref="B15:G15"/>
    <mergeCell ref="B16:C16"/>
    <mergeCell ref="B17:C17"/>
    <mergeCell ref="B18:C18"/>
    <mergeCell ref="B19:C19"/>
    <mergeCell ref="B20:C20"/>
    <mergeCell ref="B23:C23"/>
    <mergeCell ref="B21:F21"/>
    <mergeCell ref="B22:G22"/>
    <mergeCell ref="B24:C24"/>
    <mergeCell ref="B25:C25"/>
    <mergeCell ref="B40:F40"/>
    <mergeCell ref="B41:F41"/>
    <mergeCell ref="B29:C29"/>
    <mergeCell ref="B36:C36"/>
    <mergeCell ref="B27:F27"/>
    <mergeCell ref="B28:G28"/>
    <mergeCell ref="B30:C30"/>
    <mergeCell ref="B31:F31"/>
    <mergeCell ref="B32:F32"/>
    <mergeCell ref="B33:F33"/>
    <mergeCell ref="B34:D34"/>
    <mergeCell ref="B37:C37"/>
    <mergeCell ref="B38: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4"/>
  <sheetViews>
    <sheetView topLeftCell="A13" workbookViewId="0">
      <selection activeCell="D53" sqref="D53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2.5703125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+BOQ!B34</f>
        <v>0</v>
      </c>
    </row>
    <row r="7" spans="2:11" ht="15" x14ac:dyDescent="0.25">
      <c r="B7" s="7" t="s">
        <v>48</v>
      </c>
      <c r="C7" s="19" t="str">
        <f>+BOQ!C34</f>
        <v>Site Works</v>
      </c>
    </row>
    <row r="8" spans="2:11" s="21" customFormat="1" ht="15" x14ac:dyDescent="0.25">
      <c r="B8" s="20" t="s">
        <v>47</v>
      </c>
      <c r="C8" s="23">
        <f>+BOQ!B35</f>
        <v>0</v>
      </c>
      <c r="D8" s="22"/>
      <c r="E8" s="22"/>
      <c r="F8" s="22"/>
      <c r="G8" s="22"/>
    </row>
    <row r="9" spans="2:11" s="21" customFormat="1" ht="15" x14ac:dyDescent="0.25">
      <c r="B9" s="20" t="s">
        <v>49</v>
      </c>
      <c r="C9" s="23" t="str">
        <f>+BOQ!C35</f>
        <v>Site Lay-out/Clearing &amp; Grubbing</v>
      </c>
      <c r="D9" s="22"/>
      <c r="E9" s="22"/>
      <c r="F9" s="22"/>
      <c r="G9" s="22"/>
    </row>
    <row r="10" spans="2:11" x14ac:dyDescent="0.2">
      <c r="B10" s="7"/>
    </row>
    <row r="11" spans="2:11" x14ac:dyDescent="0.2">
      <c r="B11" s="21" t="s">
        <v>45</v>
      </c>
      <c r="C11" s="76">
        <v>1</v>
      </c>
      <c r="D11" s="21" t="s">
        <v>44</v>
      </c>
      <c r="E11" s="77" t="s">
        <v>97</v>
      </c>
      <c r="F11" s="22"/>
      <c r="G11" s="22"/>
      <c r="H11" s="21"/>
      <c r="I11" s="21"/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16" t="s">
        <v>4</v>
      </c>
      <c r="E16" s="116" t="s">
        <v>5</v>
      </c>
      <c r="F16" s="11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/>
      <c r="C17" s="244"/>
      <c r="D17" s="113"/>
      <c r="E17" s="113"/>
      <c r="F17" s="113"/>
      <c r="G17" s="30"/>
      <c r="H17" s="21"/>
      <c r="I17" s="21"/>
      <c r="J17" s="21"/>
      <c r="K17" s="21"/>
    </row>
    <row r="18" spans="2:11" x14ac:dyDescent="0.2">
      <c r="B18" s="243"/>
      <c r="C18" s="244"/>
      <c r="D18" s="113"/>
      <c r="E18" s="113"/>
      <c r="F18" s="113"/>
      <c r="G18" s="30"/>
      <c r="H18" s="21"/>
      <c r="I18" s="21"/>
      <c r="J18" s="21"/>
      <c r="K18" s="21"/>
    </row>
    <row r="19" spans="2:11" x14ac:dyDescent="0.2">
      <c r="B19" s="243"/>
      <c r="C19" s="244"/>
      <c r="D19" s="113"/>
      <c r="E19" s="113"/>
      <c r="F19" s="113"/>
      <c r="G19" s="30"/>
      <c r="H19" s="21"/>
      <c r="I19" s="21"/>
      <c r="J19" s="21"/>
      <c r="K19" s="21"/>
    </row>
    <row r="20" spans="2:11" x14ac:dyDescent="0.2">
      <c r="B20" s="243"/>
      <c r="C20" s="244"/>
      <c r="D20" s="113"/>
      <c r="E20" s="113"/>
      <c r="F20" s="113"/>
      <c r="G20" s="30"/>
      <c r="H20" s="21"/>
      <c r="I20" s="21"/>
      <c r="J20" s="21"/>
      <c r="K20" s="21"/>
    </row>
    <row r="21" spans="2:11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0</v>
      </c>
      <c r="H21" s="21"/>
      <c r="I21" s="21"/>
      <c r="J21" s="21"/>
      <c r="K21" s="21"/>
    </row>
    <row r="22" spans="2:11" ht="15" thickBot="1" x14ac:dyDescent="0.25">
      <c r="B22" s="255" t="s">
        <v>75</v>
      </c>
      <c r="C22" s="256"/>
      <c r="D22" s="256"/>
      <c r="E22" s="256"/>
      <c r="F22" s="256"/>
      <c r="G22" s="257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14" t="s">
        <v>3</v>
      </c>
      <c r="E23" s="114" t="s">
        <v>68</v>
      </c>
      <c r="F23" s="114" t="s">
        <v>69</v>
      </c>
      <c r="G23" s="51" t="s">
        <v>7</v>
      </c>
      <c r="H23" s="33"/>
      <c r="I23" s="33"/>
      <c r="J23" s="33"/>
      <c r="K23" s="33"/>
    </row>
    <row r="24" spans="2:11" s="21" customFormat="1" x14ac:dyDescent="0.2">
      <c r="B24" s="264" t="s">
        <v>71</v>
      </c>
      <c r="C24" s="265"/>
      <c r="D24" s="113">
        <v>1</v>
      </c>
      <c r="E24" s="113">
        <v>2000</v>
      </c>
      <c r="F24" s="113">
        <v>5</v>
      </c>
      <c r="G24" s="30">
        <f>+D24*E24*F24</f>
        <v>10000</v>
      </c>
    </row>
    <row r="25" spans="2:11" x14ac:dyDescent="0.2">
      <c r="B25" s="264" t="s">
        <v>89</v>
      </c>
      <c r="C25" s="265"/>
      <c r="D25" s="113">
        <v>2</v>
      </c>
      <c r="E25" s="113">
        <v>200</v>
      </c>
      <c r="F25" s="113">
        <f>+F24</f>
        <v>5</v>
      </c>
      <c r="G25" s="30">
        <f>+D25*E25*F25</f>
        <v>2000</v>
      </c>
      <c r="H25" s="21"/>
      <c r="I25" s="21"/>
      <c r="J25" s="21"/>
      <c r="K25" s="21"/>
    </row>
    <row r="26" spans="2:11" x14ac:dyDescent="0.2">
      <c r="B26" s="243"/>
      <c r="C26" s="244"/>
      <c r="D26" s="113"/>
      <c r="E26" s="113"/>
      <c r="F26" s="113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+SUM(G25:G26)</f>
        <v>2000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11" t="s">
        <v>3</v>
      </c>
      <c r="E29" s="111" t="s">
        <v>68</v>
      </c>
      <c r="F29" s="111" t="s">
        <v>69</v>
      </c>
      <c r="G29" s="32" t="s">
        <v>7</v>
      </c>
      <c r="H29" s="21"/>
      <c r="I29" s="21"/>
      <c r="J29" s="21"/>
      <c r="K29" s="21"/>
    </row>
    <row r="30" spans="2:11" s="21" customFormat="1" x14ac:dyDescent="0.2">
      <c r="B30" s="243" t="s">
        <v>73</v>
      </c>
      <c r="C30" s="244"/>
      <c r="D30" s="113">
        <v>4</v>
      </c>
      <c r="E30" s="113">
        <v>450</v>
      </c>
      <c r="F30" s="113">
        <f>+F25</f>
        <v>5</v>
      </c>
      <c r="G30" s="30">
        <f>+D30*E30*F30</f>
        <v>9000</v>
      </c>
    </row>
    <row r="31" spans="2:11" x14ac:dyDescent="0.2">
      <c r="B31" s="243"/>
      <c r="C31" s="244"/>
      <c r="D31" s="113"/>
      <c r="E31" s="113"/>
      <c r="F31" s="113"/>
      <c r="G31" s="30"/>
      <c r="H31" s="21"/>
      <c r="I31" s="21"/>
      <c r="J31" s="21"/>
      <c r="K31" s="21"/>
    </row>
    <row r="32" spans="2:11" ht="15" thickBot="1" x14ac:dyDescent="0.25">
      <c r="B32" s="258" t="s">
        <v>53</v>
      </c>
      <c r="C32" s="259"/>
      <c r="D32" s="259"/>
      <c r="E32" s="259"/>
      <c r="F32" s="259"/>
      <c r="G32" s="67">
        <f>+SUM(G24:G31)</f>
        <v>23000</v>
      </c>
      <c r="H32" s="21"/>
      <c r="I32" s="21"/>
      <c r="J32" s="21"/>
      <c r="K32" s="21"/>
    </row>
    <row r="33" spans="2:11" ht="15.75" thickBot="1" x14ac:dyDescent="0.3">
      <c r="B33" s="239" t="s">
        <v>77</v>
      </c>
      <c r="C33" s="240"/>
      <c r="D33" s="240"/>
      <c r="E33" s="240"/>
      <c r="F33" s="240"/>
      <c r="G33" s="52">
        <f>+SUM(G21,G27,G32)</f>
        <v>25000</v>
      </c>
      <c r="H33" s="21"/>
      <c r="I33" s="21"/>
      <c r="J33" s="21"/>
      <c r="K33" s="21"/>
    </row>
    <row r="34" spans="2:11" x14ac:dyDescent="0.2">
      <c r="B34" s="247"/>
      <c r="C34" s="248"/>
      <c r="D34" s="248"/>
      <c r="E34" s="248"/>
      <c r="F34" s="248"/>
      <c r="G34" s="34"/>
      <c r="H34" s="21"/>
      <c r="I34" s="21"/>
      <c r="J34" s="21"/>
      <c r="K34" s="21"/>
    </row>
    <row r="35" spans="2:11" x14ac:dyDescent="0.2">
      <c r="B35" s="249" t="s">
        <v>149</v>
      </c>
      <c r="C35" s="250"/>
      <c r="D35" s="250"/>
      <c r="E35" s="137">
        <v>0.01</v>
      </c>
      <c r="F35" s="80" t="s">
        <v>80</v>
      </c>
      <c r="G35" s="34">
        <f>+G33*E35</f>
        <v>250</v>
      </c>
      <c r="H35" s="21"/>
      <c r="I35" s="21"/>
      <c r="J35" s="21"/>
      <c r="K35" s="21"/>
    </row>
    <row r="36" spans="2:11" ht="14.65" customHeight="1" x14ac:dyDescent="0.2">
      <c r="B36" s="78" t="s">
        <v>79</v>
      </c>
      <c r="C36" s="76"/>
      <c r="D36" s="58"/>
      <c r="E36" s="138">
        <v>0.12</v>
      </c>
      <c r="F36" s="80" t="s">
        <v>80</v>
      </c>
      <c r="G36" s="81">
        <f>+G33*E36</f>
        <v>3000</v>
      </c>
      <c r="H36" s="82"/>
      <c r="I36" s="82"/>
      <c r="J36" s="82"/>
      <c r="K36" s="82"/>
    </row>
    <row r="37" spans="2:11" x14ac:dyDescent="0.2">
      <c r="B37" s="245" t="s">
        <v>81</v>
      </c>
      <c r="C37" s="246"/>
      <c r="D37" s="56"/>
      <c r="E37" s="135">
        <v>0.08</v>
      </c>
      <c r="F37" s="71" t="s">
        <v>80</v>
      </c>
      <c r="G37" s="70">
        <f>+G33*E37</f>
        <v>2000</v>
      </c>
      <c r="H37" s="21"/>
      <c r="I37" s="21"/>
      <c r="J37" s="21"/>
      <c r="K37" s="21"/>
    </row>
    <row r="38" spans="2:11" x14ac:dyDescent="0.2">
      <c r="B38" s="251" t="s">
        <v>78</v>
      </c>
      <c r="C38" s="252"/>
      <c r="D38" s="57"/>
      <c r="E38" s="136">
        <v>0.05</v>
      </c>
      <c r="F38" s="72" t="s">
        <v>82</v>
      </c>
      <c r="G38" s="70">
        <f>+E38*(G33+G36+G37)</f>
        <v>1500</v>
      </c>
      <c r="H38" s="21"/>
      <c r="I38" s="21"/>
      <c r="J38" s="21"/>
      <c r="K38" s="21"/>
    </row>
    <row r="39" spans="2:11" ht="15.75" thickBot="1" x14ac:dyDescent="0.3">
      <c r="B39" s="239" t="s">
        <v>55</v>
      </c>
      <c r="C39" s="240"/>
      <c r="D39" s="240"/>
      <c r="E39" s="240"/>
      <c r="F39" s="240"/>
      <c r="G39" s="38">
        <f>+SUM(G35:G38)</f>
        <v>6750</v>
      </c>
      <c r="H39" s="21"/>
      <c r="I39" s="21"/>
      <c r="J39" s="21"/>
      <c r="K39" s="21"/>
    </row>
    <row r="40" spans="2:11" ht="15.75" thickBot="1" x14ac:dyDescent="0.3">
      <c r="B40" s="53"/>
      <c r="C40" s="54"/>
      <c r="D40" s="54"/>
      <c r="E40" s="54"/>
      <c r="F40" s="55"/>
      <c r="G40" s="35"/>
      <c r="H40" s="21"/>
      <c r="I40" s="21"/>
      <c r="J40" s="21"/>
      <c r="K40" s="21"/>
    </row>
    <row r="41" spans="2:11" ht="15.75" thickBot="1" x14ac:dyDescent="0.3">
      <c r="B41" s="236" t="s">
        <v>57</v>
      </c>
      <c r="C41" s="237"/>
      <c r="D41" s="237"/>
      <c r="E41" s="237"/>
      <c r="F41" s="238"/>
      <c r="G41" s="38">
        <f>+SUM(G33,G39)</f>
        <v>31750</v>
      </c>
      <c r="H41" s="21"/>
      <c r="I41" s="21"/>
      <c r="J41" s="21"/>
      <c r="K41" s="21"/>
    </row>
    <row r="42" spans="2:11" ht="15.75" thickBot="1" x14ac:dyDescent="0.3">
      <c r="B42" s="239" t="s">
        <v>56</v>
      </c>
      <c r="C42" s="240"/>
      <c r="D42" s="240"/>
      <c r="E42" s="240"/>
      <c r="F42" s="240"/>
      <c r="G42" s="38">
        <f>+G41/C11</f>
        <v>31750</v>
      </c>
      <c r="H42" s="21"/>
      <c r="I42" s="21"/>
      <c r="J42" s="21"/>
      <c r="K42" s="21"/>
    </row>
    <row r="43" spans="2:11" x14ac:dyDescent="0.2">
      <c r="B43" s="21"/>
      <c r="C43" s="21"/>
      <c r="D43" s="22"/>
      <c r="E43" s="22"/>
      <c r="F43" s="22"/>
      <c r="G43" s="22"/>
      <c r="H43" s="21"/>
      <c r="I43" s="21"/>
      <c r="J43" s="21"/>
      <c r="K43" s="21"/>
    </row>
    <row r="44" spans="2:11" x14ac:dyDescent="0.2">
      <c r="B44" s="21"/>
      <c r="C44" s="21"/>
      <c r="D44" s="22"/>
      <c r="E44" s="22"/>
      <c r="F44" s="22"/>
      <c r="G44" s="22"/>
      <c r="H44" s="21"/>
      <c r="I44" s="21"/>
      <c r="J44" s="21"/>
      <c r="K44" s="21"/>
    </row>
  </sheetData>
  <mergeCells count="26">
    <mergeCell ref="B23:C23"/>
    <mergeCell ref="B25:C25"/>
    <mergeCell ref="B26:C26"/>
    <mergeCell ref="B27:F27"/>
    <mergeCell ref="B28:G28"/>
    <mergeCell ref="B42:F42"/>
    <mergeCell ref="B41:F41"/>
    <mergeCell ref="B24:C24"/>
    <mergeCell ref="B31:C31"/>
    <mergeCell ref="B30:C30"/>
    <mergeCell ref="B34:F34"/>
    <mergeCell ref="B37:C37"/>
    <mergeCell ref="B38:C38"/>
    <mergeCell ref="B32:F32"/>
    <mergeCell ref="B33:F33"/>
    <mergeCell ref="B35:D35"/>
    <mergeCell ref="B39:F39"/>
    <mergeCell ref="B29:C29"/>
    <mergeCell ref="B15:G15"/>
    <mergeCell ref="B16:C16"/>
    <mergeCell ref="B17:C17"/>
    <mergeCell ref="B21:F21"/>
    <mergeCell ref="B22:G22"/>
    <mergeCell ref="B18:C18"/>
    <mergeCell ref="B19:C19"/>
    <mergeCell ref="B20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7"/>
  <sheetViews>
    <sheetView topLeftCell="A40" workbookViewId="0">
      <selection activeCell="E61" sqref="E61"/>
    </sheetView>
  </sheetViews>
  <sheetFormatPr defaultColWidth="8.7109375" defaultRowHeight="14.25" x14ac:dyDescent="0.2"/>
  <cols>
    <col min="1" max="1" width="8.7109375" style="21"/>
    <col min="2" max="2" width="18.5703125" style="21" customWidth="1"/>
    <col min="3" max="3" width="25" style="21" customWidth="1"/>
    <col min="4" max="4" width="13.5703125" style="22" customWidth="1"/>
    <col min="5" max="5" width="12.5703125" style="22" customWidth="1"/>
    <col min="6" max="6" width="23.28515625" style="22" customWidth="1"/>
    <col min="7" max="7" width="12.5703125" style="22" customWidth="1"/>
    <col min="8" max="10" width="12.5703125" style="21" customWidth="1"/>
    <col min="11" max="16384" width="8.7109375" style="21"/>
  </cols>
  <sheetData>
    <row r="3" spans="2:7" x14ac:dyDescent="0.2">
      <c r="B3" s="20" t="s">
        <v>0</v>
      </c>
      <c r="C3" s="21" t="s">
        <v>8</v>
      </c>
    </row>
    <row r="4" spans="2:7" x14ac:dyDescent="0.2">
      <c r="B4" s="20" t="s">
        <v>1</v>
      </c>
      <c r="C4" s="21" t="s">
        <v>9</v>
      </c>
    </row>
    <row r="5" spans="2:7" x14ac:dyDescent="0.2">
      <c r="B5" s="20"/>
    </row>
    <row r="6" spans="2:7" ht="15" x14ac:dyDescent="0.25">
      <c r="B6" s="20" t="s">
        <v>46</v>
      </c>
      <c r="C6" s="23">
        <f>+BOQ!B34</f>
        <v>0</v>
      </c>
    </row>
    <row r="7" spans="2:7" ht="15" x14ac:dyDescent="0.25">
      <c r="B7" s="20" t="s">
        <v>48</v>
      </c>
      <c r="C7" s="23" t="str">
        <f>+BOQ!C34</f>
        <v>Site Works</v>
      </c>
    </row>
    <row r="8" spans="2:7" ht="15" x14ac:dyDescent="0.25">
      <c r="B8" s="20" t="s">
        <v>47</v>
      </c>
      <c r="C8" s="23">
        <f>+BOQ!B36</f>
        <v>0</v>
      </c>
    </row>
    <row r="9" spans="2:7" ht="15" x14ac:dyDescent="0.25">
      <c r="B9" s="20" t="s">
        <v>49</v>
      </c>
      <c r="C9" s="23" t="str">
        <f>+BOQ!C36</f>
        <v>Staking and Lay-out</v>
      </c>
    </row>
    <row r="10" spans="2:7" x14ac:dyDescent="0.2">
      <c r="B10" s="20"/>
    </row>
    <row r="11" spans="2:7" x14ac:dyDescent="0.2">
      <c r="B11" s="21" t="s">
        <v>45</v>
      </c>
      <c r="C11" s="76">
        <f>+J53</f>
        <v>91.998900000000006</v>
      </c>
      <c r="D11" s="21" t="s">
        <v>44</v>
      </c>
      <c r="E11" s="77" t="str">
        <f>+K53</f>
        <v>sq.m.</v>
      </c>
    </row>
    <row r="14" spans="2:7" ht="15" thickBot="1" x14ac:dyDescent="0.25">
      <c r="B14" s="24" t="s">
        <v>42</v>
      </c>
    </row>
    <row r="15" spans="2:7" ht="15" thickBot="1" x14ac:dyDescent="0.25">
      <c r="B15" s="255" t="s">
        <v>74</v>
      </c>
      <c r="C15" s="256"/>
      <c r="D15" s="256"/>
      <c r="E15" s="256"/>
      <c r="F15" s="256"/>
      <c r="G15" s="257"/>
    </row>
    <row r="16" spans="2:7" ht="15" x14ac:dyDescent="0.25">
      <c r="B16" s="260" t="s">
        <v>2</v>
      </c>
      <c r="C16" s="261"/>
      <c r="D16" s="26" t="s">
        <v>4</v>
      </c>
      <c r="E16" s="26" t="s">
        <v>5</v>
      </c>
      <c r="F16" s="26" t="s">
        <v>6</v>
      </c>
      <c r="G16" s="27" t="s">
        <v>7</v>
      </c>
    </row>
    <row r="17" spans="2:8" x14ac:dyDescent="0.2">
      <c r="B17" s="243"/>
      <c r="C17" s="244"/>
      <c r="D17" s="29"/>
      <c r="E17" s="29"/>
      <c r="F17" s="29"/>
      <c r="G17" s="30"/>
    </row>
    <row r="18" spans="2:8" x14ac:dyDescent="0.2">
      <c r="B18" s="243"/>
      <c r="C18" s="244"/>
      <c r="D18" s="29"/>
      <c r="E18" s="29"/>
      <c r="F18" s="29"/>
      <c r="G18" s="30"/>
    </row>
    <row r="19" spans="2:8" x14ac:dyDescent="0.2">
      <c r="B19" s="243"/>
      <c r="C19" s="244"/>
      <c r="D19" s="29"/>
      <c r="E19" s="29"/>
      <c r="F19" s="29"/>
      <c r="G19" s="30"/>
    </row>
    <row r="20" spans="2:8" x14ac:dyDescent="0.2">
      <c r="B20" s="243"/>
      <c r="C20" s="244"/>
      <c r="D20" s="29"/>
      <c r="E20" s="29"/>
      <c r="F20" s="29"/>
      <c r="G20" s="30"/>
    </row>
    <row r="21" spans="2:8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0</v>
      </c>
    </row>
    <row r="22" spans="2:8" ht="15" thickBot="1" x14ac:dyDescent="0.25">
      <c r="B22" s="255" t="s">
        <v>75</v>
      </c>
      <c r="C22" s="256"/>
      <c r="D22" s="256"/>
      <c r="E22" s="256"/>
      <c r="F22" s="256"/>
      <c r="G22" s="257"/>
    </row>
    <row r="23" spans="2:8" s="33" customFormat="1" ht="15" x14ac:dyDescent="0.25">
      <c r="B23" s="266" t="s">
        <v>2</v>
      </c>
      <c r="C23" s="267"/>
      <c r="D23" s="50" t="s">
        <v>3</v>
      </c>
      <c r="E23" s="50" t="s">
        <v>68</v>
      </c>
      <c r="F23" s="50" t="s">
        <v>69</v>
      </c>
      <c r="G23" s="51" t="s">
        <v>7</v>
      </c>
    </row>
    <row r="24" spans="2:8" x14ac:dyDescent="0.2">
      <c r="B24" s="243" t="s">
        <v>70</v>
      </c>
      <c r="C24" s="244"/>
      <c r="D24" s="29">
        <v>1</v>
      </c>
      <c r="E24" s="29">
        <v>2000</v>
      </c>
      <c r="F24" s="29">
        <v>7</v>
      </c>
      <c r="G24" s="30">
        <f>+D24*E24*F24</f>
        <v>14000</v>
      </c>
      <c r="H24" s="21">
        <f>+G46-H46</f>
        <v>4.9916591393639465E-3</v>
      </c>
    </row>
    <row r="25" spans="2:8" x14ac:dyDescent="0.2">
      <c r="B25" s="264" t="s">
        <v>71</v>
      </c>
      <c r="C25" s="265"/>
      <c r="D25" s="29">
        <v>1</v>
      </c>
      <c r="E25" s="29">
        <v>2000</v>
      </c>
      <c r="F25" s="29">
        <f>+F24</f>
        <v>7</v>
      </c>
      <c r="G25" s="30">
        <f>+D25*E25*F25</f>
        <v>14000</v>
      </c>
      <c r="H25" s="21">
        <f>+G45-I46</f>
        <v>-0.36149384999589529</v>
      </c>
    </row>
    <row r="26" spans="2:8" x14ac:dyDescent="0.2">
      <c r="B26" s="264" t="s">
        <v>93</v>
      </c>
      <c r="C26" s="265"/>
      <c r="D26" s="29">
        <v>1</v>
      </c>
      <c r="E26" s="29">
        <v>500</v>
      </c>
      <c r="F26" s="29">
        <f>+F24</f>
        <v>7</v>
      </c>
      <c r="G26" s="30">
        <f>+D26*E26*F26</f>
        <v>3500</v>
      </c>
    </row>
    <row r="27" spans="2:8" x14ac:dyDescent="0.2">
      <c r="B27" s="243" t="s">
        <v>89</v>
      </c>
      <c r="C27" s="244"/>
      <c r="D27" s="29">
        <v>1</v>
      </c>
      <c r="E27" s="29">
        <v>200</v>
      </c>
      <c r="F27" s="29">
        <f>+F24</f>
        <v>7</v>
      </c>
      <c r="G27" s="30">
        <f>+D27*E27*F27</f>
        <v>1400</v>
      </c>
    </row>
    <row r="28" spans="2:8" x14ac:dyDescent="0.2">
      <c r="B28" s="243"/>
      <c r="C28" s="244"/>
      <c r="D28" s="29"/>
      <c r="E28" s="29"/>
      <c r="F28" s="29"/>
      <c r="G28" s="30"/>
    </row>
    <row r="29" spans="2:8" ht="15" thickBot="1" x14ac:dyDescent="0.25">
      <c r="B29" s="253" t="s">
        <v>52</v>
      </c>
      <c r="C29" s="254"/>
      <c r="D29" s="254"/>
      <c r="E29" s="254"/>
      <c r="F29" s="254"/>
      <c r="G29" s="68">
        <f>+SUM(G24:G28)</f>
        <v>32900</v>
      </c>
    </row>
    <row r="30" spans="2:8" ht="15" thickBot="1" x14ac:dyDescent="0.25">
      <c r="B30" s="255" t="s">
        <v>76</v>
      </c>
      <c r="C30" s="256"/>
      <c r="D30" s="256"/>
      <c r="E30" s="256"/>
      <c r="F30" s="256"/>
      <c r="G30" s="257"/>
    </row>
    <row r="31" spans="2:8" ht="15" x14ac:dyDescent="0.2">
      <c r="B31" s="241" t="s">
        <v>2</v>
      </c>
      <c r="C31" s="242"/>
      <c r="D31" s="31" t="s">
        <v>3</v>
      </c>
      <c r="E31" s="31" t="s">
        <v>68</v>
      </c>
      <c r="F31" s="31" t="s">
        <v>69</v>
      </c>
      <c r="G31" s="32" t="s">
        <v>7</v>
      </c>
    </row>
    <row r="32" spans="2:8" x14ac:dyDescent="0.2">
      <c r="B32" s="243" t="s">
        <v>72</v>
      </c>
      <c r="C32" s="244"/>
      <c r="D32" s="29">
        <v>1</v>
      </c>
      <c r="E32" s="29">
        <v>750</v>
      </c>
      <c r="F32" s="29">
        <v>8.2935798999999992</v>
      </c>
      <c r="G32" s="30">
        <f>+D32*E32*F32</f>
        <v>6220.1849249999996</v>
      </c>
    </row>
    <row r="33" spans="2:9" x14ac:dyDescent="0.2">
      <c r="B33" s="243" t="s">
        <v>73</v>
      </c>
      <c r="C33" s="244"/>
      <c r="D33" s="29">
        <v>4</v>
      </c>
      <c r="E33" s="29">
        <v>450</v>
      </c>
      <c r="F33" s="29">
        <f>+F32</f>
        <v>8.2935798999999992</v>
      </c>
      <c r="G33" s="30">
        <f>+D33*E33*F33</f>
        <v>14928.443819999999</v>
      </c>
    </row>
    <row r="34" spans="2:9" x14ac:dyDescent="0.2">
      <c r="B34" s="243"/>
      <c r="C34" s="244"/>
      <c r="D34" s="29"/>
      <c r="E34" s="29"/>
      <c r="F34" s="29"/>
      <c r="G34" s="30"/>
    </row>
    <row r="35" spans="2:9" x14ac:dyDescent="0.2">
      <c r="B35" s="243"/>
      <c r="C35" s="244"/>
      <c r="D35" s="29"/>
      <c r="E35" s="29"/>
      <c r="F35" s="29"/>
      <c r="G35" s="30"/>
    </row>
    <row r="36" spans="2:9" ht="15" thickBot="1" x14ac:dyDescent="0.25">
      <c r="B36" s="258" t="s">
        <v>53</v>
      </c>
      <c r="C36" s="259"/>
      <c r="D36" s="259"/>
      <c r="E36" s="259"/>
      <c r="F36" s="259"/>
      <c r="G36" s="67">
        <f>+SUM(G32:G35)</f>
        <v>21148.628744999998</v>
      </c>
    </row>
    <row r="37" spans="2:9" ht="15.75" thickBot="1" x14ac:dyDescent="0.3">
      <c r="B37" s="239" t="s">
        <v>77</v>
      </c>
      <c r="C37" s="240"/>
      <c r="D37" s="240"/>
      <c r="E37" s="240"/>
      <c r="F37" s="240"/>
      <c r="G37" s="52">
        <f>+SUM(G21,G29,G36)</f>
        <v>54048.628744999995</v>
      </c>
    </row>
    <row r="38" spans="2:9" x14ac:dyDescent="0.2">
      <c r="B38" s="247"/>
      <c r="C38" s="248"/>
      <c r="D38" s="248"/>
      <c r="E38" s="248"/>
      <c r="F38" s="248"/>
      <c r="G38" s="34"/>
    </row>
    <row r="39" spans="2:9" x14ac:dyDescent="0.2">
      <c r="B39" s="249" t="s">
        <v>149</v>
      </c>
      <c r="C39" s="250"/>
      <c r="D39" s="250"/>
      <c r="E39" s="137">
        <v>0.01</v>
      </c>
      <c r="F39" s="69" t="s">
        <v>80</v>
      </c>
      <c r="G39" s="34">
        <f>+G37*E39</f>
        <v>540.48628744999996</v>
      </c>
    </row>
    <row r="40" spans="2:9" x14ac:dyDescent="0.2">
      <c r="B40" s="78" t="s">
        <v>79</v>
      </c>
      <c r="C40" s="76"/>
      <c r="D40" s="58"/>
      <c r="E40" s="134">
        <v>0.12</v>
      </c>
      <c r="F40" s="69" t="s">
        <v>80</v>
      </c>
      <c r="G40" s="70">
        <f>+G37*E40</f>
        <v>6485.8354493999987</v>
      </c>
    </row>
    <row r="41" spans="2:9" x14ac:dyDescent="0.2">
      <c r="B41" s="245" t="s">
        <v>81</v>
      </c>
      <c r="C41" s="246"/>
      <c r="D41" s="56"/>
      <c r="E41" s="135">
        <v>0.08</v>
      </c>
      <c r="F41" s="71" t="s">
        <v>80</v>
      </c>
      <c r="G41" s="70">
        <f>+G37*E41</f>
        <v>4323.8902995999997</v>
      </c>
    </row>
    <row r="42" spans="2:9" ht="15" customHeight="1" thickBot="1" x14ac:dyDescent="0.25">
      <c r="B42" s="251" t="s">
        <v>78</v>
      </c>
      <c r="C42" s="252"/>
      <c r="D42" s="57"/>
      <c r="E42" s="136">
        <v>0.05</v>
      </c>
      <c r="F42" s="72" t="s">
        <v>82</v>
      </c>
      <c r="G42" s="70">
        <f>+E42*(G37+G40+G41)</f>
        <v>3242.9177247000002</v>
      </c>
    </row>
    <row r="43" spans="2:9" ht="15.75" thickBot="1" x14ac:dyDescent="0.3">
      <c r="B43" s="239" t="s">
        <v>55</v>
      </c>
      <c r="C43" s="240"/>
      <c r="D43" s="240"/>
      <c r="E43" s="240"/>
      <c r="F43" s="240"/>
      <c r="G43" s="38">
        <f>+SUM(G39:G42)</f>
        <v>14593.129761149999</v>
      </c>
    </row>
    <row r="44" spans="2:9" ht="15.75" thickBot="1" x14ac:dyDescent="0.3">
      <c r="B44" s="53"/>
      <c r="C44" s="54"/>
      <c r="D44" s="54"/>
      <c r="E44" s="54"/>
      <c r="F44" s="55"/>
      <c r="G44" s="35"/>
    </row>
    <row r="45" spans="2:9" ht="15.75" thickBot="1" x14ac:dyDescent="0.3">
      <c r="B45" s="236" t="s">
        <v>57</v>
      </c>
      <c r="C45" s="237"/>
      <c r="D45" s="237"/>
      <c r="E45" s="237"/>
      <c r="F45" s="238"/>
      <c r="G45" s="38">
        <f>+SUM(G37,G43)</f>
        <v>68641.758506149999</v>
      </c>
    </row>
    <row r="46" spans="2:9" ht="15.75" thickBot="1" x14ac:dyDescent="0.3">
      <c r="B46" s="239" t="s">
        <v>56</v>
      </c>
      <c r="C46" s="240"/>
      <c r="D46" s="240"/>
      <c r="E46" s="240"/>
      <c r="F46" s="240"/>
      <c r="G46" s="38">
        <f>+G45/C11</f>
        <v>746.11499165913938</v>
      </c>
      <c r="H46" s="23">
        <v>746.11</v>
      </c>
      <c r="I46" s="21">
        <f>+H46*92</f>
        <v>68642.12</v>
      </c>
    </row>
    <row r="49" spans="2:11" ht="15" thickBot="1" x14ac:dyDescent="0.25">
      <c r="B49" s="24" t="s">
        <v>58</v>
      </c>
    </row>
    <row r="50" spans="2:11" s="39" customFormat="1" ht="15.75" thickBot="1" x14ac:dyDescent="0.3">
      <c r="B50" s="36" t="s">
        <v>59</v>
      </c>
      <c r="C50" s="37" t="s">
        <v>60</v>
      </c>
      <c r="D50" s="37" t="s">
        <v>61</v>
      </c>
      <c r="E50" s="37" t="s">
        <v>62</v>
      </c>
      <c r="F50" s="37" t="s">
        <v>63</v>
      </c>
      <c r="G50" s="37" t="s">
        <v>64</v>
      </c>
      <c r="H50" s="37" t="s">
        <v>65</v>
      </c>
      <c r="I50" s="37" t="s">
        <v>66</v>
      </c>
      <c r="J50" s="37" t="s">
        <v>67</v>
      </c>
      <c r="K50" s="38" t="s">
        <v>43</v>
      </c>
    </row>
    <row r="51" spans="2:11" x14ac:dyDescent="0.2">
      <c r="B51" s="40"/>
      <c r="C51" s="41"/>
      <c r="D51" s="42"/>
      <c r="E51" s="42"/>
      <c r="F51" s="42"/>
      <c r="G51" s="42"/>
      <c r="H51" s="41"/>
      <c r="I51" s="41"/>
      <c r="J51" s="41"/>
      <c r="K51" s="43"/>
    </row>
    <row r="52" spans="2:11" ht="15" x14ac:dyDescent="0.25">
      <c r="B52" s="25">
        <f>+C6</f>
        <v>0</v>
      </c>
      <c r="C52" s="75" t="str">
        <f>+C7</f>
        <v>Site Works</v>
      </c>
      <c r="D52" s="42"/>
      <c r="E52" s="42"/>
      <c r="F52" s="42"/>
      <c r="G52" s="42"/>
      <c r="H52" s="41"/>
      <c r="I52" s="41"/>
      <c r="J52" s="41"/>
      <c r="K52" s="43"/>
    </row>
    <row r="53" spans="2:11" ht="15" x14ac:dyDescent="0.25">
      <c r="B53" s="25">
        <f>+C8</f>
        <v>0</v>
      </c>
      <c r="C53" s="75" t="str">
        <f>+C9</f>
        <v>Staking and Lay-out</v>
      </c>
      <c r="D53" s="42"/>
      <c r="E53" s="42"/>
      <c r="F53" s="42"/>
      <c r="G53" s="42"/>
      <c r="H53" s="41"/>
      <c r="I53" s="41"/>
      <c r="J53" s="73">
        <f>+SUM(J54:J56)</f>
        <v>91.998900000000006</v>
      </c>
      <c r="K53" s="74" t="s">
        <v>84</v>
      </c>
    </row>
    <row r="54" spans="2:11" x14ac:dyDescent="0.2">
      <c r="B54" s="28" t="s">
        <v>86</v>
      </c>
      <c r="C54" s="44" t="s">
        <v>83</v>
      </c>
      <c r="D54" s="29">
        <v>1</v>
      </c>
      <c r="E54" s="29">
        <v>2</v>
      </c>
      <c r="F54" s="29">
        <f>3.66+3.8+4.04+4</f>
        <v>15.5</v>
      </c>
      <c r="G54" s="29">
        <v>1.5</v>
      </c>
      <c r="H54" s="44">
        <v>1</v>
      </c>
      <c r="I54" s="44">
        <v>1.05</v>
      </c>
      <c r="J54" s="44">
        <f>+D54*E54*F54*G54*H54*I54</f>
        <v>48.825000000000003</v>
      </c>
      <c r="K54" s="45" t="s">
        <v>84</v>
      </c>
    </row>
    <row r="55" spans="2:11" x14ac:dyDescent="0.2">
      <c r="B55" s="28" t="s">
        <v>87</v>
      </c>
      <c r="C55" s="44" t="s">
        <v>224</v>
      </c>
      <c r="D55" s="29">
        <v>4</v>
      </c>
      <c r="E55" s="29">
        <v>10</v>
      </c>
      <c r="F55" s="29">
        <v>1.8</v>
      </c>
      <c r="G55" s="29">
        <v>1.8</v>
      </c>
      <c r="H55" s="44">
        <v>0.3</v>
      </c>
      <c r="I55" s="44">
        <v>1.05</v>
      </c>
      <c r="J55" s="44">
        <f>+D55*E55*F55*G55*H55*I55</f>
        <v>40.823999999999998</v>
      </c>
      <c r="K55" s="45" t="s">
        <v>84</v>
      </c>
    </row>
    <row r="56" spans="2:11" x14ac:dyDescent="0.2">
      <c r="B56" s="28" t="s">
        <v>88</v>
      </c>
      <c r="C56" s="44" t="s">
        <v>85</v>
      </c>
      <c r="D56" s="29">
        <v>1</v>
      </c>
      <c r="E56" s="29">
        <v>1</v>
      </c>
      <c r="F56" s="29">
        <f>3.66+3.8</f>
        <v>7.46</v>
      </c>
      <c r="G56" s="29">
        <v>1</v>
      </c>
      <c r="H56" s="44">
        <v>0.3</v>
      </c>
      <c r="I56" s="44">
        <v>1.05</v>
      </c>
      <c r="J56" s="44">
        <f>+D56*E56*F56*G56*H56*I56</f>
        <v>2.3498999999999999</v>
      </c>
      <c r="K56" s="45" t="s">
        <v>84</v>
      </c>
    </row>
    <row r="57" spans="2:11" ht="15" thickBot="1" x14ac:dyDescent="0.25">
      <c r="B57" s="46"/>
      <c r="C57" s="47"/>
      <c r="D57" s="48"/>
      <c r="E57" s="48"/>
      <c r="F57" s="48"/>
      <c r="G57" s="48"/>
      <c r="H57" s="47"/>
      <c r="I57" s="47"/>
      <c r="J57" s="47"/>
      <c r="K57" s="49"/>
    </row>
  </sheetData>
  <mergeCells count="30">
    <mergeCell ref="B23:C23"/>
    <mergeCell ref="B15:G15"/>
    <mergeCell ref="B16:C16"/>
    <mergeCell ref="B17:C17"/>
    <mergeCell ref="B18:C18"/>
    <mergeCell ref="B19:C19"/>
    <mergeCell ref="B20:C20"/>
    <mergeCell ref="B21:F21"/>
    <mergeCell ref="B22:G22"/>
    <mergeCell ref="B24:C24"/>
    <mergeCell ref="B27:C27"/>
    <mergeCell ref="B28:C28"/>
    <mergeCell ref="B29:F29"/>
    <mergeCell ref="B30:G30"/>
    <mergeCell ref="B26:C26"/>
    <mergeCell ref="B45:F45"/>
    <mergeCell ref="B46:F46"/>
    <mergeCell ref="B25:C25"/>
    <mergeCell ref="B37:F37"/>
    <mergeCell ref="B38:F38"/>
    <mergeCell ref="B43:F43"/>
    <mergeCell ref="B41:C41"/>
    <mergeCell ref="B42:C42"/>
    <mergeCell ref="B31:C31"/>
    <mergeCell ref="B32:C32"/>
    <mergeCell ref="B33:C33"/>
    <mergeCell ref="B34:C34"/>
    <mergeCell ref="B35:C35"/>
    <mergeCell ref="B36:F36"/>
    <mergeCell ref="B39:D3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6"/>
  <sheetViews>
    <sheetView topLeftCell="A40" workbookViewId="0">
      <selection activeCell="C54" sqref="C54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7" style="1" customWidth="1"/>
    <col min="4" max="4" width="13.5703125" style="2" customWidth="1"/>
    <col min="5" max="5" width="12.5703125" style="2" customWidth="1"/>
    <col min="6" max="6" width="23.140625" style="2" customWidth="1"/>
    <col min="7" max="7" width="12.5703125" style="2" customWidth="1"/>
    <col min="8" max="8" width="13" style="1" customWidth="1"/>
    <col min="9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+BOQ!B34</f>
        <v>0</v>
      </c>
    </row>
    <row r="7" spans="2:11" ht="15" x14ac:dyDescent="0.25">
      <c r="B7" s="7" t="s">
        <v>48</v>
      </c>
      <c r="C7" s="19" t="str">
        <f>+BOQ!C34</f>
        <v>Site Works</v>
      </c>
    </row>
    <row r="8" spans="2:11" ht="15" x14ac:dyDescent="0.25">
      <c r="B8" s="7" t="s">
        <v>47</v>
      </c>
      <c r="C8" s="19">
        <f>+BOQ!B37</f>
        <v>0</v>
      </c>
    </row>
    <row r="9" spans="2:11" ht="15" x14ac:dyDescent="0.25">
      <c r="B9" s="7" t="s">
        <v>49</v>
      </c>
      <c r="C9" s="19" t="str">
        <f>+BOQ!C37</f>
        <v xml:space="preserve">Excavation </v>
      </c>
    </row>
    <row r="10" spans="2:11" x14ac:dyDescent="0.2">
      <c r="B10" s="7"/>
    </row>
    <row r="11" spans="2:11" x14ac:dyDescent="0.2">
      <c r="B11" s="21" t="s">
        <v>45</v>
      </c>
      <c r="C11" s="76">
        <f>+J51</f>
        <v>173.26080000000002</v>
      </c>
      <c r="D11" s="21" t="s">
        <v>44</v>
      </c>
      <c r="E11" s="77" t="str">
        <f>+K51</f>
        <v>cu.m.</v>
      </c>
      <c r="F11" s="22"/>
      <c r="G11" s="22"/>
      <c r="H11" s="21"/>
      <c r="I11" s="21"/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26" t="s">
        <v>4</v>
      </c>
      <c r="E16" s="26" t="s">
        <v>5</v>
      </c>
      <c r="F16" s="2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/>
      <c r="C17" s="244"/>
      <c r="D17" s="29"/>
      <c r="E17" s="29"/>
      <c r="F17" s="29"/>
      <c r="G17" s="30"/>
      <c r="H17" s="21"/>
      <c r="I17" s="21"/>
      <c r="J17" s="21"/>
      <c r="K17" s="21"/>
    </row>
    <row r="18" spans="2:11" x14ac:dyDescent="0.2">
      <c r="B18" s="243"/>
      <c r="C18" s="244"/>
      <c r="D18" s="29"/>
      <c r="E18" s="29"/>
      <c r="F18" s="29"/>
      <c r="G18" s="30"/>
      <c r="H18" s="21"/>
      <c r="I18" s="21"/>
      <c r="J18" s="21"/>
      <c r="K18" s="21"/>
    </row>
    <row r="19" spans="2:11" x14ac:dyDescent="0.2">
      <c r="B19" s="243"/>
      <c r="C19" s="244"/>
      <c r="D19" s="29"/>
      <c r="E19" s="29"/>
      <c r="F19" s="29"/>
      <c r="G19" s="30"/>
      <c r="H19" s="21"/>
      <c r="I19" s="21"/>
      <c r="J19" s="21"/>
      <c r="K19" s="21"/>
    </row>
    <row r="20" spans="2:11" x14ac:dyDescent="0.2">
      <c r="B20" s="243"/>
      <c r="C20" s="244"/>
      <c r="D20" s="29"/>
      <c r="E20" s="29"/>
      <c r="F20" s="29"/>
      <c r="G20" s="30"/>
      <c r="H20" s="21"/>
      <c r="I20" s="21"/>
      <c r="J20" s="21"/>
      <c r="K20" s="21"/>
    </row>
    <row r="21" spans="2:11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0</v>
      </c>
      <c r="H21" s="21"/>
      <c r="I21" s="21"/>
      <c r="J21" s="21"/>
      <c r="K21" s="21"/>
    </row>
    <row r="22" spans="2:11" ht="15" thickBot="1" x14ac:dyDescent="0.25">
      <c r="B22" s="255" t="s">
        <v>75</v>
      </c>
      <c r="C22" s="256"/>
      <c r="D22" s="256"/>
      <c r="E22" s="256"/>
      <c r="F22" s="256"/>
      <c r="G22" s="257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50" t="s">
        <v>3</v>
      </c>
      <c r="E23" s="50" t="s">
        <v>68</v>
      </c>
      <c r="F23" s="50" t="s">
        <v>69</v>
      </c>
      <c r="G23" s="51" t="s">
        <v>7</v>
      </c>
      <c r="H23" s="33"/>
      <c r="I23" s="33"/>
      <c r="J23" s="33"/>
      <c r="K23" s="33"/>
    </row>
    <row r="24" spans="2:11" x14ac:dyDescent="0.2">
      <c r="B24" s="264" t="s">
        <v>71</v>
      </c>
      <c r="C24" s="265"/>
      <c r="D24" s="29">
        <v>1</v>
      </c>
      <c r="E24" s="29">
        <v>2000</v>
      </c>
      <c r="F24" s="29">
        <f>+F30/3</f>
        <v>11.55072</v>
      </c>
      <c r="G24" s="30">
        <f>+D24*E24*F24</f>
        <v>23101.439999999999</v>
      </c>
      <c r="H24" s="21"/>
      <c r="I24" s="21"/>
      <c r="J24" s="21"/>
      <c r="K24" s="21"/>
    </row>
    <row r="25" spans="2:11" x14ac:dyDescent="0.2">
      <c r="B25" s="243" t="s">
        <v>89</v>
      </c>
      <c r="C25" s="244"/>
      <c r="D25" s="29">
        <v>1</v>
      </c>
      <c r="E25" s="29">
        <v>200</v>
      </c>
      <c r="F25" s="29">
        <f>+F24</f>
        <v>11.55072</v>
      </c>
      <c r="G25" s="30">
        <f>+D25*E25*F25</f>
        <v>2310.1440000000002</v>
      </c>
      <c r="H25" s="21"/>
      <c r="I25" s="21"/>
      <c r="J25" s="21"/>
      <c r="K25" s="21"/>
    </row>
    <row r="26" spans="2:11" x14ac:dyDescent="0.2">
      <c r="B26" s="243"/>
      <c r="C26" s="244"/>
      <c r="D26" s="29"/>
      <c r="E26" s="29"/>
      <c r="F26" s="29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+SUM(G24:G26)</f>
        <v>25411.583999999999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31" t="s">
        <v>3</v>
      </c>
      <c r="E29" s="31" t="s">
        <v>68</v>
      </c>
      <c r="F29" s="31" t="s">
        <v>69</v>
      </c>
      <c r="G29" s="32" t="s">
        <v>7</v>
      </c>
      <c r="H29" s="21"/>
      <c r="I29" s="21"/>
      <c r="J29" s="21"/>
      <c r="K29" s="21"/>
    </row>
    <row r="30" spans="2:11" x14ac:dyDescent="0.2">
      <c r="B30" s="243" t="s">
        <v>72</v>
      </c>
      <c r="C30" s="244"/>
      <c r="D30" s="29">
        <v>1</v>
      </c>
      <c r="E30" s="29">
        <v>750</v>
      </c>
      <c r="F30" s="29">
        <f>+C11/(1*5)</f>
        <v>34.652160000000002</v>
      </c>
      <c r="G30" s="30">
        <f>+D30*E30*F30</f>
        <v>25989.120000000003</v>
      </c>
      <c r="H30" s="21"/>
      <c r="I30" s="21"/>
      <c r="J30" s="21"/>
      <c r="K30" s="21"/>
    </row>
    <row r="31" spans="2:11" x14ac:dyDescent="0.2">
      <c r="B31" s="243" t="s">
        <v>73</v>
      </c>
      <c r="C31" s="244"/>
      <c r="D31" s="29">
        <v>5</v>
      </c>
      <c r="E31" s="29">
        <v>450</v>
      </c>
      <c r="F31" s="29">
        <f>+F30</f>
        <v>34.652160000000002</v>
      </c>
      <c r="G31" s="30">
        <f>+D31*E31*F31</f>
        <v>77967.360000000001</v>
      </c>
      <c r="H31" s="21"/>
      <c r="I31" s="21"/>
      <c r="J31" s="21"/>
      <c r="K31" s="21"/>
    </row>
    <row r="32" spans="2:11" x14ac:dyDescent="0.2">
      <c r="B32" s="243"/>
      <c r="C32" s="244"/>
      <c r="D32" s="29"/>
      <c r="E32" s="29"/>
      <c r="F32" s="29"/>
      <c r="G32" s="30"/>
      <c r="H32" s="21"/>
      <c r="I32" s="21"/>
      <c r="J32" s="21"/>
      <c r="K32" s="21"/>
    </row>
    <row r="33" spans="2:11" x14ac:dyDescent="0.2">
      <c r="B33" s="243"/>
      <c r="C33" s="244"/>
      <c r="D33" s="29"/>
      <c r="E33" s="29"/>
      <c r="F33" s="29"/>
      <c r="G33" s="30"/>
      <c r="H33" s="21"/>
      <c r="I33" s="21"/>
      <c r="J33" s="21"/>
      <c r="K33" s="21"/>
    </row>
    <row r="34" spans="2:11" ht="15" thickBot="1" x14ac:dyDescent="0.25">
      <c r="B34" s="258" t="s">
        <v>53</v>
      </c>
      <c r="C34" s="259"/>
      <c r="D34" s="259"/>
      <c r="E34" s="259"/>
      <c r="F34" s="259"/>
      <c r="G34" s="67">
        <f>+SUM(G30:G33)</f>
        <v>103956.48000000001</v>
      </c>
      <c r="H34" s="21"/>
      <c r="I34" s="21"/>
      <c r="J34" s="21"/>
      <c r="K34" s="21"/>
    </row>
    <row r="35" spans="2:11" ht="15.75" thickBot="1" x14ac:dyDescent="0.3">
      <c r="B35" s="239" t="s">
        <v>77</v>
      </c>
      <c r="C35" s="240"/>
      <c r="D35" s="240"/>
      <c r="E35" s="240"/>
      <c r="F35" s="240"/>
      <c r="G35" s="52">
        <f>+SUM(G21,G27,G34)</f>
        <v>129368.06400000001</v>
      </c>
      <c r="H35" s="21"/>
      <c r="I35" s="21"/>
      <c r="J35" s="21"/>
      <c r="K35" s="21"/>
    </row>
    <row r="36" spans="2:11" x14ac:dyDescent="0.2">
      <c r="B36" s="247"/>
      <c r="C36" s="248"/>
      <c r="D36" s="248"/>
      <c r="E36" s="248"/>
      <c r="F36" s="248"/>
      <c r="G36" s="34"/>
      <c r="H36" s="21"/>
      <c r="I36" s="21"/>
      <c r="J36" s="21"/>
      <c r="K36" s="21"/>
    </row>
    <row r="37" spans="2:11" x14ac:dyDescent="0.2">
      <c r="B37" s="249" t="s">
        <v>149</v>
      </c>
      <c r="C37" s="250"/>
      <c r="D37" s="250"/>
      <c r="E37" s="137">
        <v>0.01</v>
      </c>
      <c r="F37" s="80" t="s">
        <v>80</v>
      </c>
      <c r="G37" s="34">
        <f>+G35*E37</f>
        <v>1293.6806400000003</v>
      </c>
      <c r="H37" s="21"/>
      <c r="I37" s="21"/>
      <c r="J37" s="21"/>
      <c r="K37" s="21"/>
    </row>
    <row r="38" spans="2:11" s="5" customFormat="1" x14ac:dyDescent="0.2">
      <c r="B38" s="78" t="s">
        <v>79</v>
      </c>
      <c r="C38" s="76"/>
      <c r="D38" s="58"/>
      <c r="E38" s="138">
        <v>0.12</v>
      </c>
      <c r="F38" s="80" t="s">
        <v>80</v>
      </c>
      <c r="G38" s="81">
        <f>+G35*E38</f>
        <v>15524.16768</v>
      </c>
      <c r="H38" s="82"/>
      <c r="I38" s="82"/>
      <c r="J38" s="82"/>
      <c r="K38" s="82"/>
    </row>
    <row r="39" spans="2:11" x14ac:dyDescent="0.2">
      <c r="B39" s="245" t="s">
        <v>81</v>
      </c>
      <c r="C39" s="246"/>
      <c r="D39" s="56"/>
      <c r="E39" s="135">
        <v>0.08</v>
      </c>
      <c r="F39" s="71" t="s">
        <v>80</v>
      </c>
      <c r="G39" s="70">
        <f>+G35*E39</f>
        <v>10349.445120000002</v>
      </c>
      <c r="H39" s="21"/>
      <c r="I39" s="21"/>
      <c r="J39" s="21"/>
      <c r="K39" s="21"/>
    </row>
    <row r="40" spans="2:11" ht="15" thickBot="1" x14ac:dyDescent="0.25">
      <c r="B40" s="251" t="s">
        <v>78</v>
      </c>
      <c r="C40" s="252"/>
      <c r="D40" s="57"/>
      <c r="E40" s="136">
        <v>0.05</v>
      </c>
      <c r="F40" s="72" t="s">
        <v>82</v>
      </c>
      <c r="G40" s="70">
        <f>+E40*(G35+G38+G39)</f>
        <v>7762.0838400000011</v>
      </c>
      <c r="H40" s="21"/>
      <c r="I40" s="21"/>
      <c r="J40" s="21"/>
      <c r="K40" s="21"/>
    </row>
    <row r="41" spans="2:11" ht="15.75" thickBot="1" x14ac:dyDescent="0.3">
      <c r="B41" s="239" t="s">
        <v>55</v>
      </c>
      <c r="C41" s="240"/>
      <c r="D41" s="240"/>
      <c r="E41" s="240"/>
      <c r="F41" s="240"/>
      <c r="G41" s="38">
        <f>+SUM(G37:G40)</f>
        <v>34929.377280000001</v>
      </c>
      <c r="H41" s="21"/>
      <c r="I41" s="21"/>
      <c r="J41" s="21"/>
      <c r="K41" s="21"/>
    </row>
    <row r="42" spans="2:11" ht="15.75" thickBot="1" x14ac:dyDescent="0.3">
      <c r="B42" s="53"/>
      <c r="C42" s="54"/>
      <c r="D42" s="54"/>
      <c r="E42" s="54"/>
      <c r="F42" s="55"/>
      <c r="G42" s="35"/>
      <c r="H42" s="21"/>
      <c r="I42" s="21"/>
      <c r="J42" s="21"/>
      <c r="K42" s="21"/>
    </row>
    <row r="43" spans="2:11" ht="15.75" thickBot="1" x14ac:dyDescent="0.3">
      <c r="B43" s="236" t="s">
        <v>57</v>
      </c>
      <c r="C43" s="237"/>
      <c r="D43" s="237"/>
      <c r="E43" s="237"/>
      <c r="F43" s="238"/>
      <c r="G43" s="38">
        <f>+SUM(G35,G41)</f>
        <v>164297.44128000003</v>
      </c>
      <c r="H43" s="21"/>
      <c r="I43" s="21"/>
      <c r="J43" s="21"/>
      <c r="K43" s="21"/>
    </row>
    <row r="44" spans="2:11" ht="15.75" thickBot="1" x14ac:dyDescent="0.3">
      <c r="B44" s="239" t="s">
        <v>56</v>
      </c>
      <c r="C44" s="240"/>
      <c r="D44" s="240"/>
      <c r="E44" s="240"/>
      <c r="F44" s="240"/>
      <c r="G44" s="38">
        <f>+G43/C11</f>
        <v>948.26666666666677</v>
      </c>
      <c r="H44" s="21"/>
      <c r="I44" s="21"/>
      <c r="J44" s="21"/>
      <c r="K44" s="21"/>
    </row>
    <row r="45" spans="2:11" x14ac:dyDescent="0.2">
      <c r="B45" s="21"/>
      <c r="C45" s="21"/>
      <c r="D45" s="22"/>
      <c r="E45" s="22"/>
      <c r="F45" s="22"/>
      <c r="G45" s="22"/>
      <c r="H45" s="21"/>
      <c r="I45" s="21"/>
      <c r="J45" s="21"/>
      <c r="K45" s="21"/>
    </row>
    <row r="46" spans="2:11" x14ac:dyDescent="0.2">
      <c r="B46" s="21"/>
      <c r="C46" s="21"/>
      <c r="D46" s="22"/>
      <c r="E46" s="22"/>
      <c r="F46" s="22"/>
      <c r="G46" s="22"/>
      <c r="H46" s="21"/>
      <c r="I46" s="21"/>
      <c r="J46" s="21"/>
      <c r="K46" s="21"/>
    </row>
    <row r="47" spans="2:11" ht="15" thickBot="1" x14ac:dyDescent="0.25">
      <c r="B47" s="24" t="s">
        <v>58</v>
      </c>
      <c r="C47" s="21"/>
      <c r="D47" s="22"/>
      <c r="E47" s="22"/>
      <c r="F47" s="22"/>
      <c r="G47" s="22"/>
      <c r="H47" s="21"/>
      <c r="I47" s="21"/>
      <c r="J47" s="21"/>
      <c r="K47" s="21"/>
    </row>
    <row r="48" spans="2:11" ht="15.75" thickBot="1" x14ac:dyDescent="0.3">
      <c r="B48" s="36" t="s">
        <v>59</v>
      </c>
      <c r="C48" s="37" t="s">
        <v>60</v>
      </c>
      <c r="D48" s="37" t="s">
        <v>61</v>
      </c>
      <c r="E48" s="37" t="s">
        <v>62</v>
      </c>
      <c r="F48" s="37" t="s">
        <v>63</v>
      </c>
      <c r="G48" s="37" t="s">
        <v>64</v>
      </c>
      <c r="H48" s="37" t="s">
        <v>65</v>
      </c>
      <c r="I48" s="37" t="s">
        <v>66</v>
      </c>
      <c r="J48" s="37" t="s">
        <v>67</v>
      </c>
      <c r="K48" s="38" t="s">
        <v>43</v>
      </c>
    </row>
    <row r="49" spans="2:11" x14ac:dyDescent="0.2">
      <c r="B49" s="40"/>
      <c r="C49" s="41"/>
      <c r="D49" s="42"/>
      <c r="E49" s="42"/>
      <c r="F49" s="42"/>
      <c r="G49" s="42"/>
      <c r="H49" s="41"/>
      <c r="I49" s="41"/>
      <c r="J49" s="41"/>
      <c r="K49" s="43"/>
    </row>
    <row r="50" spans="2:11" ht="15" x14ac:dyDescent="0.25">
      <c r="B50" s="25">
        <f>+C6</f>
        <v>0</v>
      </c>
      <c r="C50" s="75" t="str">
        <f>+C7</f>
        <v>Site Works</v>
      </c>
      <c r="D50" s="42"/>
      <c r="E50" s="42"/>
      <c r="F50" s="42"/>
      <c r="G50" s="42"/>
      <c r="H50" s="41"/>
      <c r="I50" s="41"/>
      <c r="J50" s="41"/>
      <c r="K50" s="43"/>
    </row>
    <row r="51" spans="2:11" ht="15" x14ac:dyDescent="0.25">
      <c r="B51" s="25">
        <f>+C8</f>
        <v>0</v>
      </c>
      <c r="C51" s="75" t="str">
        <f>+C9</f>
        <v xml:space="preserve">Excavation </v>
      </c>
      <c r="D51" s="42"/>
      <c r="E51" s="42"/>
      <c r="F51" s="42"/>
      <c r="G51" s="42"/>
      <c r="H51" s="41"/>
      <c r="I51" s="41"/>
      <c r="J51" s="73">
        <f>+SUM(J52:J54)</f>
        <v>173.26080000000002</v>
      </c>
      <c r="K51" s="74" t="s">
        <v>95</v>
      </c>
    </row>
    <row r="52" spans="2:11" x14ac:dyDescent="0.2">
      <c r="B52" s="28" t="s">
        <v>86</v>
      </c>
      <c r="C52" s="44" t="s">
        <v>226</v>
      </c>
      <c r="D52" s="29">
        <v>8</v>
      </c>
      <c r="E52" s="29">
        <v>3</v>
      </c>
      <c r="F52" s="29">
        <v>1</v>
      </c>
      <c r="G52" s="29">
        <f>+(1.8*1.8)-(0.3*0.3)</f>
        <v>3.1500000000000004</v>
      </c>
      <c r="H52" s="44">
        <v>2</v>
      </c>
      <c r="I52" s="44">
        <v>1</v>
      </c>
      <c r="J52" s="44">
        <f>+D52*E52*F52*G52*H52*I52</f>
        <v>151.20000000000002</v>
      </c>
      <c r="K52" s="45" t="s">
        <v>95</v>
      </c>
    </row>
    <row r="53" spans="2:11" x14ac:dyDescent="0.2">
      <c r="B53" s="182" t="s">
        <v>87</v>
      </c>
      <c r="C53" s="44" t="s">
        <v>90</v>
      </c>
      <c r="D53" s="183">
        <v>8</v>
      </c>
      <c r="E53" s="183">
        <v>2</v>
      </c>
      <c r="F53" s="183">
        <v>0.3</v>
      </c>
      <c r="G53" s="183">
        <v>0.3</v>
      </c>
      <c r="H53" s="44">
        <v>2</v>
      </c>
      <c r="I53" s="44">
        <v>1</v>
      </c>
      <c r="J53" s="44">
        <f t="shared" ref="J53:J54" si="0">+D53*E53*F53*G53*H53*I53</f>
        <v>2.88</v>
      </c>
      <c r="K53" s="45" t="s">
        <v>95</v>
      </c>
    </row>
    <row r="54" spans="2:11" x14ac:dyDescent="0.2">
      <c r="B54" s="28" t="s">
        <v>88</v>
      </c>
      <c r="C54" s="87" t="s">
        <v>225</v>
      </c>
      <c r="D54" s="29">
        <v>8</v>
      </c>
      <c r="E54" s="29">
        <v>2</v>
      </c>
      <c r="F54" s="29">
        <v>1.8</v>
      </c>
      <c r="G54" s="29">
        <v>1.8</v>
      </c>
      <c r="H54" s="44">
        <v>0.37</v>
      </c>
      <c r="I54" s="44">
        <v>1</v>
      </c>
      <c r="J54" s="44">
        <f t="shared" si="0"/>
        <v>19.180800000000001</v>
      </c>
      <c r="K54" s="45" t="s">
        <v>95</v>
      </c>
    </row>
    <row r="55" spans="2:11" x14ac:dyDescent="0.2">
      <c r="B55" s="83"/>
      <c r="C55" s="84"/>
      <c r="D55" s="85"/>
      <c r="E55" s="85"/>
      <c r="F55" s="85"/>
      <c r="G55" s="85"/>
      <c r="H55" s="84"/>
      <c r="I55" s="84"/>
      <c r="J55" s="84"/>
      <c r="K55" s="86"/>
    </row>
    <row r="56" spans="2:11" ht="15" thickBot="1" x14ac:dyDescent="0.25">
      <c r="B56" s="46"/>
      <c r="C56" s="47"/>
      <c r="D56" s="48"/>
      <c r="E56" s="48"/>
      <c r="F56" s="48"/>
      <c r="G56" s="48"/>
      <c r="H56" s="47"/>
      <c r="I56" s="47"/>
      <c r="J56" s="47"/>
      <c r="K56" s="49"/>
    </row>
  </sheetData>
  <mergeCells count="28">
    <mergeCell ref="B25:C25"/>
    <mergeCell ref="B15:G15"/>
    <mergeCell ref="B16:C16"/>
    <mergeCell ref="B17:C17"/>
    <mergeCell ref="B18:C18"/>
    <mergeCell ref="B19:C19"/>
    <mergeCell ref="B20:C20"/>
    <mergeCell ref="B21:F21"/>
    <mergeCell ref="B22:G22"/>
    <mergeCell ref="B24:C24"/>
    <mergeCell ref="B23:C23"/>
    <mergeCell ref="B26:C26"/>
    <mergeCell ref="B29:C29"/>
    <mergeCell ref="B27:F27"/>
    <mergeCell ref="B28:G28"/>
    <mergeCell ref="B30:C30"/>
    <mergeCell ref="B31:C31"/>
    <mergeCell ref="B34:F34"/>
    <mergeCell ref="B35:F35"/>
    <mergeCell ref="B36:F36"/>
    <mergeCell ref="B32:C32"/>
    <mergeCell ref="B33:C33"/>
    <mergeCell ref="B37:D37"/>
    <mergeCell ref="B41:F41"/>
    <mergeCell ref="B43:F43"/>
    <mergeCell ref="B44:F44"/>
    <mergeCell ref="B39:C39"/>
    <mergeCell ref="B40:C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5"/>
  <sheetViews>
    <sheetView workbookViewId="0">
      <selection activeCell="I29" sqref="I29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140625" style="2" customWidth="1"/>
    <col min="7" max="7" width="14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+BOQ!B34</f>
        <v>0</v>
      </c>
    </row>
    <row r="7" spans="2:11" ht="15" x14ac:dyDescent="0.25">
      <c r="B7" s="7" t="s">
        <v>48</v>
      </c>
      <c r="C7" s="19" t="str">
        <f>+BOQ!C34</f>
        <v>Site Works</v>
      </c>
    </row>
    <row r="8" spans="2:11" ht="15" x14ac:dyDescent="0.25">
      <c r="B8" s="7" t="s">
        <v>47</v>
      </c>
      <c r="C8" s="19">
        <f>+BOQ!B38</f>
        <v>0</v>
      </c>
    </row>
    <row r="9" spans="2:11" ht="15" x14ac:dyDescent="0.25">
      <c r="B9" s="7" t="s">
        <v>49</v>
      </c>
      <c r="C9" s="19" t="str">
        <f>+BOQ!C38</f>
        <v>Backfill &amp; Compaction</v>
      </c>
    </row>
    <row r="10" spans="2:11" x14ac:dyDescent="0.2">
      <c r="B10" s="7"/>
    </row>
    <row r="11" spans="2:11" x14ac:dyDescent="0.2">
      <c r="B11" s="21" t="s">
        <v>45</v>
      </c>
      <c r="C11" s="76">
        <f>+J52</f>
        <v>170.38080000000002</v>
      </c>
      <c r="D11" s="21" t="s">
        <v>44</v>
      </c>
      <c r="E11" s="77" t="str">
        <f>+K52</f>
        <v>cu.m.</v>
      </c>
      <c r="F11" s="22"/>
      <c r="G11" s="22"/>
      <c r="H11" s="21"/>
      <c r="I11" s="21"/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26" t="s">
        <v>4</v>
      </c>
      <c r="E16" s="26" t="s">
        <v>5</v>
      </c>
      <c r="F16" s="2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/>
      <c r="C17" s="244"/>
      <c r="D17" s="29"/>
      <c r="E17" s="29"/>
      <c r="F17" s="29"/>
      <c r="G17" s="30"/>
      <c r="H17" s="21"/>
      <c r="I17" s="21"/>
      <c r="J17" s="21"/>
      <c r="K17" s="21"/>
    </row>
    <row r="18" spans="2:11" x14ac:dyDescent="0.2">
      <c r="B18" s="243"/>
      <c r="C18" s="244"/>
      <c r="D18" s="29"/>
      <c r="E18" s="29"/>
      <c r="F18" s="29"/>
      <c r="G18" s="30"/>
      <c r="H18" s="21"/>
      <c r="I18" s="21"/>
      <c r="J18" s="21"/>
      <c r="K18" s="21"/>
    </row>
    <row r="19" spans="2:11" x14ac:dyDescent="0.2">
      <c r="B19" s="243"/>
      <c r="C19" s="244"/>
      <c r="D19" s="29"/>
      <c r="E19" s="29"/>
      <c r="F19" s="29"/>
      <c r="G19" s="30"/>
      <c r="H19" s="21"/>
      <c r="I19" s="21"/>
      <c r="J19" s="21"/>
      <c r="K19" s="21"/>
    </row>
    <row r="20" spans="2:11" x14ac:dyDescent="0.2">
      <c r="B20" s="243"/>
      <c r="C20" s="244"/>
      <c r="D20" s="29"/>
      <c r="E20" s="29"/>
      <c r="F20" s="29"/>
      <c r="G20" s="30"/>
      <c r="H20" s="21"/>
      <c r="I20" s="21"/>
      <c r="J20" s="21"/>
      <c r="K20" s="21"/>
    </row>
    <row r="21" spans="2:11" ht="15" thickBot="1" x14ac:dyDescent="0.25">
      <c r="B21" s="258" t="s">
        <v>51</v>
      </c>
      <c r="C21" s="259"/>
      <c r="D21" s="259"/>
      <c r="E21" s="259"/>
      <c r="F21" s="259"/>
      <c r="G21" s="67">
        <f>+SUM(G17:G20)</f>
        <v>0</v>
      </c>
      <c r="H21" s="21"/>
      <c r="I21" s="21"/>
      <c r="J21" s="21"/>
      <c r="K21" s="21"/>
    </row>
    <row r="22" spans="2:11" ht="15" thickBot="1" x14ac:dyDescent="0.25">
      <c r="B22" s="255" t="s">
        <v>75</v>
      </c>
      <c r="C22" s="256"/>
      <c r="D22" s="256"/>
      <c r="E22" s="256"/>
      <c r="F22" s="256"/>
      <c r="G22" s="257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50" t="s">
        <v>3</v>
      </c>
      <c r="E23" s="50" t="s">
        <v>68</v>
      </c>
      <c r="F23" s="50" t="s">
        <v>69</v>
      </c>
      <c r="G23" s="51" t="s">
        <v>7</v>
      </c>
      <c r="H23" s="33"/>
      <c r="I23" s="33"/>
      <c r="J23" s="33"/>
      <c r="K23" s="33"/>
    </row>
    <row r="24" spans="2:11" x14ac:dyDescent="0.2">
      <c r="B24" s="264" t="s">
        <v>71</v>
      </c>
      <c r="C24" s="265"/>
      <c r="D24" s="29">
        <v>1</v>
      </c>
      <c r="E24" s="29">
        <v>2000</v>
      </c>
      <c r="F24" s="29">
        <f>+F31/3</f>
        <v>7.5724800000000014</v>
      </c>
      <c r="G24" s="30">
        <f>+D24*E24*F24</f>
        <v>15144.960000000003</v>
      </c>
      <c r="H24" s="21"/>
      <c r="I24" s="21"/>
      <c r="J24" s="21"/>
      <c r="K24" s="21"/>
    </row>
    <row r="25" spans="2:11" x14ac:dyDescent="0.2">
      <c r="B25" s="264" t="s">
        <v>92</v>
      </c>
      <c r="C25" s="265"/>
      <c r="D25" s="29">
        <v>1</v>
      </c>
      <c r="E25" s="29">
        <v>1500</v>
      </c>
      <c r="F25" s="29">
        <f>+F24</f>
        <v>7.5724800000000014</v>
      </c>
      <c r="G25" s="30">
        <f>+D25*E25*F25</f>
        <v>11358.720000000003</v>
      </c>
      <c r="H25" s="21"/>
      <c r="I25" s="21"/>
      <c r="J25" s="21"/>
      <c r="K25" s="21"/>
    </row>
    <row r="26" spans="2:11" x14ac:dyDescent="0.2">
      <c r="B26" s="243" t="s">
        <v>89</v>
      </c>
      <c r="C26" s="244"/>
      <c r="D26" s="29">
        <v>1</v>
      </c>
      <c r="E26" s="29">
        <v>200</v>
      </c>
      <c r="F26" s="29">
        <f>+F24</f>
        <v>7.5724800000000014</v>
      </c>
      <c r="G26" s="30">
        <f>+D26*E26*F26</f>
        <v>1514.4960000000003</v>
      </c>
      <c r="H26" s="21"/>
      <c r="I26" s="21"/>
      <c r="J26" s="21"/>
      <c r="K26" s="21"/>
    </row>
    <row r="27" spans="2:11" x14ac:dyDescent="0.2">
      <c r="B27" s="243"/>
      <c r="C27" s="244"/>
      <c r="D27" s="29"/>
      <c r="E27" s="29"/>
      <c r="F27" s="29"/>
      <c r="G27" s="30"/>
      <c r="H27" s="21"/>
      <c r="I27" s="21"/>
      <c r="J27" s="21"/>
      <c r="K27" s="21"/>
    </row>
    <row r="28" spans="2:11" ht="15" thickBot="1" x14ac:dyDescent="0.25">
      <c r="B28" s="253" t="s">
        <v>52</v>
      </c>
      <c r="C28" s="254"/>
      <c r="D28" s="254"/>
      <c r="E28" s="254"/>
      <c r="F28" s="254"/>
      <c r="G28" s="68">
        <f>+SUM(G24:G27)</f>
        <v>28018.176000000007</v>
      </c>
      <c r="H28" s="21"/>
      <c r="I28" s="21"/>
      <c r="J28" s="21"/>
      <c r="K28" s="21"/>
    </row>
    <row r="29" spans="2:11" ht="15" thickBot="1" x14ac:dyDescent="0.25">
      <c r="B29" s="255" t="s">
        <v>76</v>
      </c>
      <c r="C29" s="256"/>
      <c r="D29" s="256"/>
      <c r="E29" s="256"/>
      <c r="F29" s="256"/>
      <c r="G29" s="257"/>
      <c r="H29" s="21"/>
      <c r="I29" s="21"/>
      <c r="J29" s="21"/>
      <c r="K29" s="21"/>
    </row>
    <row r="30" spans="2:11" ht="15" x14ac:dyDescent="0.2">
      <c r="B30" s="241" t="s">
        <v>2</v>
      </c>
      <c r="C30" s="242"/>
      <c r="D30" s="31" t="s">
        <v>3</v>
      </c>
      <c r="E30" s="31" t="s">
        <v>68</v>
      </c>
      <c r="F30" s="31" t="s">
        <v>69</v>
      </c>
      <c r="G30" s="32" t="s">
        <v>7</v>
      </c>
      <c r="H30" s="21"/>
      <c r="I30" s="21"/>
      <c r="J30" s="21"/>
      <c r="K30" s="21"/>
    </row>
    <row r="31" spans="2:11" x14ac:dyDescent="0.2">
      <c r="B31" s="243" t="s">
        <v>72</v>
      </c>
      <c r="C31" s="244"/>
      <c r="D31" s="29">
        <v>1</v>
      </c>
      <c r="E31" s="29">
        <v>750</v>
      </c>
      <c r="F31" s="29">
        <f>+C11/(5*1.5)</f>
        <v>22.717440000000003</v>
      </c>
      <c r="G31" s="30">
        <f>+D31*E31*F31</f>
        <v>17038.080000000002</v>
      </c>
      <c r="H31" s="21"/>
      <c r="I31" s="21"/>
      <c r="J31" s="21"/>
      <c r="K31" s="21"/>
    </row>
    <row r="32" spans="2:11" x14ac:dyDescent="0.2">
      <c r="B32" s="243" t="s">
        <v>73</v>
      </c>
      <c r="C32" s="244"/>
      <c r="D32" s="29">
        <v>5</v>
      </c>
      <c r="E32" s="29">
        <v>450</v>
      </c>
      <c r="F32" s="29">
        <f>+F31</f>
        <v>22.717440000000003</v>
      </c>
      <c r="G32" s="30">
        <f>+D32*E32*F32</f>
        <v>51114.240000000005</v>
      </c>
      <c r="H32" s="21"/>
      <c r="I32" s="21"/>
      <c r="J32" s="21"/>
      <c r="K32" s="21"/>
    </row>
    <row r="33" spans="2:11" x14ac:dyDescent="0.2">
      <c r="B33" s="243"/>
      <c r="C33" s="244"/>
      <c r="D33" s="29"/>
      <c r="E33" s="29"/>
      <c r="F33" s="29"/>
      <c r="G33" s="30"/>
      <c r="H33" s="21"/>
      <c r="I33" s="21"/>
      <c r="J33" s="21"/>
      <c r="K33" s="21"/>
    </row>
    <row r="34" spans="2:11" x14ac:dyDescent="0.2">
      <c r="B34" s="243"/>
      <c r="C34" s="244"/>
      <c r="D34" s="29"/>
      <c r="E34" s="29"/>
      <c r="F34" s="29"/>
      <c r="G34" s="30"/>
      <c r="H34" s="21"/>
      <c r="I34" s="21"/>
      <c r="J34" s="21"/>
      <c r="K34" s="21"/>
    </row>
    <row r="35" spans="2:11" ht="15" thickBot="1" x14ac:dyDescent="0.25">
      <c r="B35" s="258" t="s">
        <v>53</v>
      </c>
      <c r="C35" s="259"/>
      <c r="D35" s="259"/>
      <c r="E35" s="259"/>
      <c r="F35" s="259"/>
      <c r="G35" s="67">
        <f>+SUM(G31:G34)</f>
        <v>68152.320000000007</v>
      </c>
      <c r="H35" s="21"/>
      <c r="I35" s="21"/>
      <c r="J35" s="21"/>
      <c r="K35" s="21"/>
    </row>
    <row r="36" spans="2:11" ht="15.75" thickBot="1" x14ac:dyDescent="0.3">
      <c r="B36" s="239" t="s">
        <v>77</v>
      </c>
      <c r="C36" s="240"/>
      <c r="D36" s="240"/>
      <c r="E36" s="240"/>
      <c r="F36" s="240"/>
      <c r="G36" s="52">
        <f>+SUM(G21,G28,G35)</f>
        <v>96170.496000000014</v>
      </c>
      <c r="H36" s="21"/>
      <c r="I36" s="21"/>
      <c r="J36" s="21"/>
      <c r="K36" s="21"/>
    </row>
    <row r="37" spans="2:11" x14ac:dyDescent="0.2">
      <c r="B37" s="247"/>
      <c r="C37" s="248"/>
      <c r="D37" s="248"/>
      <c r="E37" s="248"/>
      <c r="F37" s="248"/>
      <c r="G37" s="34"/>
      <c r="H37" s="21"/>
      <c r="I37" s="21"/>
      <c r="J37" s="21"/>
      <c r="K37" s="21"/>
    </row>
    <row r="38" spans="2:11" x14ac:dyDescent="0.2">
      <c r="B38" s="249" t="s">
        <v>149</v>
      </c>
      <c r="C38" s="250"/>
      <c r="D38" s="250"/>
      <c r="E38" s="137">
        <v>0.01</v>
      </c>
      <c r="F38" s="80" t="s">
        <v>80</v>
      </c>
      <c r="G38" s="34">
        <f>+G36*E38</f>
        <v>961.70496000000014</v>
      </c>
      <c r="H38" s="21"/>
      <c r="I38" s="21"/>
      <c r="J38" s="21"/>
      <c r="K38" s="21"/>
    </row>
    <row r="39" spans="2:11" ht="14.65" customHeight="1" x14ac:dyDescent="0.2">
      <c r="B39" s="78" t="s">
        <v>79</v>
      </c>
      <c r="C39" s="76"/>
      <c r="D39" s="58"/>
      <c r="E39" s="139">
        <v>0.12</v>
      </c>
      <c r="F39" s="80" t="s">
        <v>80</v>
      </c>
      <c r="G39" s="81">
        <f>+G36*E39</f>
        <v>11540.45952</v>
      </c>
      <c r="H39" s="82"/>
      <c r="I39" s="82"/>
      <c r="J39" s="82"/>
      <c r="K39" s="82"/>
    </row>
    <row r="40" spans="2:11" x14ac:dyDescent="0.2">
      <c r="B40" s="245" t="s">
        <v>81</v>
      </c>
      <c r="C40" s="246"/>
      <c r="D40" s="56"/>
      <c r="E40" s="140">
        <v>0.08</v>
      </c>
      <c r="F40" s="71" t="s">
        <v>80</v>
      </c>
      <c r="G40" s="70">
        <f>+G36*E40</f>
        <v>7693.6396800000011</v>
      </c>
      <c r="H40" s="21"/>
      <c r="I40" s="21"/>
      <c r="J40" s="21"/>
      <c r="K40" s="21"/>
    </row>
    <row r="41" spans="2:11" ht="15" thickBot="1" x14ac:dyDescent="0.25">
      <c r="B41" s="251" t="s">
        <v>78</v>
      </c>
      <c r="C41" s="252"/>
      <c r="D41" s="57"/>
      <c r="E41" s="141">
        <v>0.05</v>
      </c>
      <c r="F41" s="72" t="s">
        <v>82</v>
      </c>
      <c r="G41" s="70">
        <f>+E41*(G36+G39+G40)</f>
        <v>5770.229760000002</v>
      </c>
      <c r="H41" s="21"/>
      <c r="I41" s="21"/>
      <c r="J41" s="21"/>
      <c r="K41" s="21"/>
    </row>
    <row r="42" spans="2:11" ht="15.75" thickBot="1" x14ac:dyDescent="0.3">
      <c r="B42" s="239" t="s">
        <v>55</v>
      </c>
      <c r="C42" s="240"/>
      <c r="D42" s="240"/>
      <c r="E42" s="240"/>
      <c r="F42" s="240"/>
      <c r="G42" s="38">
        <f>+SUM(G38:G41)</f>
        <v>25966.033920000005</v>
      </c>
      <c r="H42" s="21"/>
      <c r="I42" s="21"/>
      <c r="J42" s="21"/>
      <c r="K42" s="21"/>
    </row>
    <row r="43" spans="2:11" ht="15.75" thickBot="1" x14ac:dyDescent="0.3">
      <c r="B43" s="53"/>
      <c r="C43" s="54"/>
      <c r="D43" s="54"/>
      <c r="E43" s="54"/>
      <c r="F43" s="55"/>
      <c r="G43" s="35"/>
      <c r="H43" s="21"/>
      <c r="I43" s="21"/>
      <c r="J43" s="21"/>
      <c r="K43" s="21"/>
    </row>
    <row r="44" spans="2:11" ht="15.75" thickBot="1" x14ac:dyDescent="0.3">
      <c r="B44" s="236" t="s">
        <v>57</v>
      </c>
      <c r="C44" s="237"/>
      <c r="D44" s="237"/>
      <c r="E44" s="237"/>
      <c r="F44" s="238"/>
      <c r="G44" s="38">
        <f>+SUM(G36,G42)</f>
        <v>122136.52992000002</v>
      </c>
      <c r="H44" s="21"/>
      <c r="I44" s="21"/>
      <c r="J44" s="21"/>
      <c r="K44" s="21"/>
    </row>
    <row r="45" spans="2:11" ht="15.75" thickBot="1" x14ac:dyDescent="0.3">
      <c r="B45" s="239" t="s">
        <v>56</v>
      </c>
      <c r="C45" s="240"/>
      <c r="D45" s="240"/>
      <c r="E45" s="240"/>
      <c r="F45" s="240"/>
      <c r="G45" s="38">
        <f>+G44/C11</f>
        <v>716.84444444444443</v>
      </c>
      <c r="H45" s="21"/>
      <c r="I45" s="21"/>
      <c r="J45" s="21"/>
      <c r="K45" s="21"/>
    </row>
    <row r="46" spans="2:11" x14ac:dyDescent="0.2">
      <c r="B46" s="21"/>
      <c r="C46" s="21"/>
      <c r="D46" s="22"/>
      <c r="E46" s="22"/>
      <c r="F46" s="22"/>
      <c r="G46" s="22"/>
      <c r="H46" s="21"/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  <row r="48" spans="2:11" ht="15" thickBot="1" x14ac:dyDescent="0.25">
      <c r="B48" s="24" t="s">
        <v>58</v>
      </c>
      <c r="C48" s="21"/>
      <c r="D48" s="22"/>
      <c r="E48" s="22"/>
      <c r="F48" s="22"/>
      <c r="G48" s="22"/>
      <c r="H48" s="21"/>
      <c r="I48" s="21"/>
      <c r="J48" s="21"/>
      <c r="K48" s="21"/>
    </row>
    <row r="49" spans="2:11" ht="15.75" thickBot="1" x14ac:dyDescent="0.3">
      <c r="B49" s="36" t="s">
        <v>59</v>
      </c>
      <c r="C49" s="37" t="s">
        <v>60</v>
      </c>
      <c r="D49" s="37" t="s">
        <v>61</v>
      </c>
      <c r="E49" s="37" t="s">
        <v>62</v>
      </c>
      <c r="F49" s="37" t="s">
        <v>63</v>
      </c>
      <c r="G49" s="37" t="s">
        <v>64</v>
      </c>
      <c r="H49" s="37" t="s">
        <v>65</v>
      </c>
      <c r="I49" s="37" t="s">
        <v>66</v>
      </c>
      <c r="J49" s="37" t="s">
        <v>67</v>
      </c>
      <c r="K49" s="38" t="s">
        <v>43</v>
      </c>
    </row>
    <row r="50" spans="2:11" x14ac:dyDescent="0.2">
      <c r="B50" s="40"/>
      <c r="C50" s="41"/>
      <c r="D50" s="42"/>
      <c r="E50" s="42"/>
      <c r="F50" s="42"/>
      <c r="G50" s="42"/>
      <c r="H50" s="41"/>
      <c r="I50" s="41"/>
      <c r="J50" s="41"/>
      <c r="K50" s="43"/>
    </row>
    <row r="51" spans="2:11" ht="15" x14ac:dyDescent="0.25">
      <c r="B51" s="25">
        <f>+C6</f>
        <v>0</v>
      </c>
      <c r="C51" s="75" t="str">
        <f>+C7</f>
        <v>Site Works</v>
      </c>
      <c r="D51" s="42"/>
      <c r="E51" s="42"/>
      <c r="F51" s="42"/>
      <c r="G51" s="42"/>
      <c r="H51" s="41"/>
      <c r="I51" s="41"/>
      <c r="J51" s="41"/>
      <c r="K51" s="43"/>
    </row>
    <row r="52" spans="2:11" ht="15" x14ac:dyDescent="0.25">
      <c r="B52" s="25">
        <f>+C8</f>
        <v>0</v>
      </c>
      <c r="C52" s="75" t="str">
        <f>+C9</f>
        <v>Backfill &amp; Compaction</v>
      </c>
      <c r="D52" s="42"/>
      <c r="E52" s="42"/>
      <c r="F52" s="42"/>
      <c r="G52" s="42"/>
      <c r="H52" s="41"/>
      <c r="I52" s="41"/>
      <c r="J52" s="73">
        <f>+SUM(J53:J54)</f>
        <v>170.38080000000002</v>
      </c>
      <c r="K52" s="74" t="s">
        <v>95</v>
      </c>
    </row>
    <row r="53" spans="2:11" x14ac:dyDescent="0.2">
      <c r="B53" s="182" t="s">
        <v>86</v>
      </c>
      <c r="C53" s="44" t="s">
        <v>226</v>
      </c>
      <c r="D53" s="183">
        <v>8</v>
      </c>
      <c r="E53" s="183">
        <v>3</v>
      </c>
      <c r="F53" s="183">
        <v>1</v>
      </c>
      <c r="G53" s="183">
        <f>+(1.8*1.8)-(0.3*0.3)</f>
        <v>3.1500000000000004</v>
      </c>
      <c r="H53" s="44">
        <v>2</v>
      </c>
      <c r="I53" s="44">
        <v>1</v>
      </c>
      <c r="J53" s="44">
        <f>+D53*E53*F53*G53*H53*I53</f>
        <v>151.20000000000002</v>
      </c>
      <c r="K53" s="45" t="s">
        <v>95</v>
      </c>
    </row>
    <row r="54" spans="2:11" x14ac:dyDescent="0.2">
      <c r="B54" s="182" t="s">
        <v>88</v>
      </c>
      <c r="C54" s="87" t="s">
        <v>225</v>
      </c>
      <c r="D54" s="183">
        <v>8</v>
      </c>
      <c r="E54" s="183">
        <v>2</v>
      </c>
      <c r="F54" s="183">
        <v>1.8</v>
      </c>
      <c r="G54" s="183">
        <v>1.8</v>
      </c>
      <c r="H54" s="44">
        <v>0.37</v>
      </c>
      <c r="I54" s="44">
        <v>1</v>
      </c>
      <c r="J54" s="44">
        <f t="shared" ref="J54" si="0">+D54*E54*F54*G54*H54*I54</f>
        <v>19.180800000000001</v>
      </c>
      <c r="K54" s="45" t="s">
        <v>95</v>
      </c>
    </row>
    <row r="55" spans="2:11" ht="15" thickBot="1" x14ac:dyDescent="0.25">
      <c r="B55" s="46"/>
      <c r="C55" s="47"/>
      <c r="D55" s="48"/>
      <c r="E55" s="48"/>
      <c r="F55" s="48"/>
      <c r="G55" s="48"/>
      <c r="H55" s="47"/>
      <c r="I55" s="47"/>
      <c r="J55" s="47"/>
      <c r="K55" s="49"/>
    </row>
  </sheetData>
  <mergeCells count="29">
    <mergeCell ref="B27:C27"/>
    <mergeCell ref="B15:G15"/>
    <mergeCell ref="B16:C16"/>
    <mergeCell ref="B17:C17"/>
    <mergeCell ref="B18:C18"/>
    <mergeCell ref="B19:C19"/>
    <mergeCell ref="B20:C20"/>
    <mergeCell ref="B21:F21"/>
    <mergeCell ref="B22:G22"/>
    <mergeCell ref="B24:C24"/>
    <mergeCell ref="B26:C26"/>
    <mergeCell ref="B25:C25"/>
    <mergeCell ref="B23:C23"/>
    <mergeCell ref="B30:C30"/>
    <mergeCell ref="B31:C31"/>
    <mergeCell ref="B28:F28"/>
    <mergeCell ref="B29:G29"/>
    <mergeCell ref="B32:C32"/>
    <mergeCell ref="B42:F42"/>
    <mergeCell ref="B44:F44"/>
    <mergeCell ref="B45:F45"/>
    <mergeCell ref="B41:C41"/>
    <mergeCell ref="B33:C33"/>
    <mergeCell ref="B35:F35"/>
    <mergeCell ref="B36:F36"/>
    <mergeCell ref="B37:F37"/>
    <mergeCell ref="B40:C40"/>
    <mergeCell ref="B34:C34"/>
    <mergeCell ref="B38:D3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1"/>
  <sheetViews>
    <sheetView topLeftCell="A4" workbookViewId="0">
      <selection activeCell="B25" sqref="B25:G25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2.5703125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+BOQ!B42</f>
        <v>0</v>
      </c>
    </row>
    <row r="7" spans="2:11" ht="15" x14ac:dyDescent="0.25">
      <c r="B7" s="7" t="s">
        <v>48</v>
      </c>
      <c r="C7" s="19" t="str">
        <f>+BOQ!C42</f>
        <v>Formworks &amp; Scaffoldings (Rental)</v>
      </c>
    </row>
    <row r="8" spans="2:11" x14ac:dyDescent="0.2">
      <c r="B8" s="7"/>
    </row>
    <row r="9" spans="2:11" x14ac:dyDescent="0.2">
      <c r="B9" s="21" t="s">
        <v>45</v>
      </c>
      <c r="C9" s="76">
        <v>6</v>
      </c>
      <c r="D9" s="21" t="s">
        <v>44</v>
      </c>
      <c r="E9" s="77" t="s">
        <v>188</v>
      </c>
      <c r="F9" s="22"/>
      <c r="G9" s="22"/>
      <c r="H9" s="21"/>
      <c r="I9" s="21"/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16" t="s">
        <v>4</v>
      </c>
      <c r="E14" s="116" t="s">
        <v>5</v>
      </c>
      <c r="F14" s="116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43"/>
      <c r="C15" s="244"/>
      <c r="D15" s="113"/>
      <c r="E15" s="113"/>
      <c r="F15" s="113"/>
      <c r="G15" s="30"/>
      <c r="H15" s="21"/>
      <c r="I15" s="21"/>
      <c r="J15" s="21"/>
      <c r="K15" s="21"/>
    </row>
    <row r="16" spans="2:11" x14ac:dyDescent="0.2">
      <c r="B16" s="243" t="str">
        <f>+C7</f>
        <v>Formworks &amp; Scaffoldings (Rental)</v>
      </c>
      <c r="C16" s="244"/>
      <c r="D16" s="113">
        <f>+C9</f>
        <v>6</v>
      </c>
      <c r="E16" s="113" t="str">
        <f>+E9</f>
        <v>months</v>
      </c>
      <c r="F16" s="113">
        <v>15000</v>
      </c>
      <c r="G16" s="30">
        <f>+D16*F16</f>
        <v>90000</v>
      </c>
      <c r="H16" s="21"/>
      <c r="I16" s="21"/>
      <c r="J16" s="21"/>
      <c r="K16" s="21"/>
    </row>
    <row r="17" spans="2:11" x14ac:dyDescent="0.2">
      <c r="B17" s="243"/>
      <c r="C17" s="244"/>
      <c r="D17" s="113"/>
      <c r="E17" s="113"/>
      <c r="F17" s="113"/>
      <c r="G17" s="30"/>
      <c r="H17" s="21"/>
      <c r="I17" s="21"/>
      <c r="J17" s="21"/>
      <c r="K17" s="21"/>
    </row>
    <row r="18" spans="2:11" x14ac:dyDescent="0.2">
      <c r="B18" s="243"/>
      <c r="C18" s="244"/>
      <c r="D18" s="113"/>
      <c r="E18" s="113"/>
      <c r="F18" s="113"/>
      <c r="G18" s="30"/>
      <c r="H18" s="21"/>
      <c r="I18" s="21"/>
      <c r="J18" s="21"/>
      <c r="K18" s="21"/>
    </row>
    <row r="19" spans="2:11" ht="15" thickBot="1" x14ac:dyDescent="0.25">
      <c r="B19" s="258" t="s">
        <v>51</v>
      </c>
      <c r="C19" s="259"/>
      <c r="D19" s="259"/>
      <c r="E19" s="259"/>
      <c r="F19" s="259"/>
      <c r="G19" s="67">
        <f>+SUM(G15:G18)</f>
        <v>90000</v>
      </c>
      <c r="H19" s="21"/>
      <c r="I19" s="21"/>
      <c r="J19" s="21"/>
      <c r="K19" s="21"/>
    </row>
    <row r="20" spans="2:11" ht="15" thickBot="1" x14ac:dyDescent="0.25">
      <c r="B20" s="255" t="s">
        <v>75</v>
      </c>
      <c r="C20" s="256"/>
      <c r="D20" s="256"/>
      <c r="E20" s="256"/>
      <c r="F20" s="256"/>
      <c r="G20" s="257"/>
      <c r="H20" s="21"/>
      <c r="I20" s="21"/>
      <c r="J20" s="21"/>
      <c r="K20" s="21"/>
    </row>
    <row r="21" spans="2:11" ht="15" x14ac:dyDescent="0.2">
      <c r="B21" s="266" t="s">
        <v>2</v>
      </c>
      <c r="C21" s="267"/>
      <c r="D21" s="114" t="s">
        <v>3</v>
      </c>
      <c r="E21" s="114" t="s">
        <v>68</v>
      </c>
      <c r="F21" s="114" t="s">
        <v>69</v>
      </c>
      <c r="G21" s="51" t="s">
        <v>7</v>
      </c>
      <c r="H21" s="33"/>
      <c r="I21" s="33"/>
      <c r="J21" s="33"/>
      <c r="K21" s="33"/>
    </row>
    <row r="22" spans="2:11" x14ac:dyDescent="0.2">
      <c r="B22" s="264"/>
      <c r="C22" s="265"/>
      <c r="D22" s="113"/>
      <c r="E22" s="113"/>
      <c r="F22" s="113"/>
      <c r="G22" s="30"/>
      <c r="H22" s="21"/>
      <c r="I22" s="21"/>
      <c r="J22" s="21"/>
      <c r="K22" s="21"/>
    </row>
    <row r="23" spans="2:11" x14ac:dyDescent="0.2">
      <c r="B23" s="243"/>
      <c r="C23" s="244"/>
      <c r="D23" s="113"/>
      <c r="E23" s="113"/>
      <c r="F23" s="113"/>
      <c r="G23" s="30"/>
      <c r="H23" s="21"/>
      <c r="I23" s="21"/>
      <c r="J23" s="21"/>
      <c r="K23" s="21"/>
    </row>
    <row r="24" spans="2:11" ht="15" thickBot="1" x14ac:dyDescent="0.25">
      <c r="B24" s="253" t="s">
        <v>52</v>
      </c>
      <c r="C24" s="254"/>
      <c r="D24" s="254"/>
      <c r="E24" s="254"/>
      <c r="F24" s="254"/>
      <c r="G24" s="68">
        <f>+SUM(G22:G23)</f>
        <v>0</v>
      </c>
      <c r="H24" s="21"/>
      <c r="I24" s="21"/>
      <c r="J24" s="21"/>
      <c r="K24" s="21"/>
    </row>
    <row r="25" spans="2:11" ht="15" thickBot="1" x14ac:dyDescent="0.25">
      <c r="B25" s="255" t="s">
        <v>76</v>
      </c>
      <c r="C25" s="256"/>
      <c r="D25" s="256"/>
      <c r="E25" s="256"/>
      <c r="F25" s="256"/>
      <c r="G25" s="257"/>
      <c r="H25" s="21"/>
      <c r="I25" s="21"/>
      <c r="J25" s="21"/>
      <c r="K25" s="21"/>
    </row>
    <row r="26" spans="2:11" ht="15" x14ac:dyDescent="0.2">
      <c r="B26" s="241" t="s">
        <v>2</v>
      </c>
      <c r="C26" s="242"/>
      <c r="D26" s="111" t="s">
        <v>3</v>
      </c>
      <c r="E26" s="111" t="s">
        <v>68</v>
      </c>
      <c r="F26" s="111" t="s">
        <v>69</v>
      </c>
      <c r="G26" s="32" t="s">
        <v>7</v>
      </c>
      <c r="H26" s="21"/>
      <c r="I26" s="21"/>
      <c r="J26" s="21"/>
      <c r="K26" s="21"/>
    </row>
    <row r="27" spans="2:11" x14ac:dyDescent="0.2">
      <c r="B27" s="243"/>
      <c r="C27" s="244"/>
      <c r="D27" s="113"/>
      <c r="E27" s="113"/>
      <c r="F27" s="113"/>
      <c r="G27" s="30"/>
      <c r="H27" s="21"/>
      <c r="I27" s="21"/>
      <c r="J27" s="21"/>
      <c r="K27" s="21"/>
    </row>
    <row r="28" spans="2:11" x14ac:dyDescent="0.2">
      <c r="B28" s="243"/>
      <c r="C28" s="244"/>
      <c r="D28" s="113"/>
      <c r="E28" s="113"/>
      <c r="F28" s="113"/>
      <c r="G28" s="30"/>
      <c r="H28" s="21"/>
      <c r="I28" s="21"/>
      <c r="J28" s="21"/>
      <c r="K28" s="21"/>
    </row>
    <row r="29" spans="2:11" ht="15" thickBot="1" x14ac:dyDescent="0.25">
      <c r="B29" s="258" t="s">
        <v>53</v>
      </c>
      <c r="C29" s="259"/>
      <c r="D29" s="259"/>
      <c r="E29" s="259"/>
      <c r="F29" s="259"/>
      <c r="G29" s="67">
        <f>+SUM(G27:G28)</f>
        <v>0</v>
      </c>
      <c r="H29" s="21"/>
      <c r="I29" s="21"/>
      <c r="J29" s="21"/>
      <c r="K29" s="21"/>
    </row>
    <row r="30" spans="2:11" ht="15.75" thickBot="1" x14ac:dyDescent="0.3">
      <c r="B30" s="239" t="s">
        <v>77</v>
      </c>
      <c r="C30" s="240"/>
      <c r="D30" s="240"/>
      <c r="E30" s="240"/>
      <c r="F30" s="240"/>
      <c r="G30" s="52">
        <f>+SUM(G19,G24,G29)</f>
        <v>90000</v>
      </c>
      <c r="H30" s="21"/>
      <c r="I30" s="21"/>
      <c r="J30" s="21"/>
      <c r="K30" s="21"/>
    </row>
    <row r="31" spans="2:11" x14ac:dyDescent="0.2">
      <c r="B31" s="247"/>
      <c r="C31" s="248"/>
      <c r="D31" s="248"/>
      <c r="E31" s="248"/>
      <c r="F31" s="248"/>
      <c r="G31" s="34"/>
      <c r="H31" s="21"/>
      <c r="I31" s="21"/>
      <c r="J31" s="21"/>
      <c r="K31" s="21"/>
    </row>
    <row r="32" spans="2:11" x14ac:dyDescent="0.2">
      <c r="B32" s="249" t="s">
        <v>149</v>
      </c>
      <c r="C32" s="250"/>
      <c r="D32" s="250"/>
      <c r="E32" s="137">
        <v>0.01</v>
      </c>
      <c r="F32" s="80" t="s">
        <v>80</v>
      </c>
      <c r="G32" s="34">
        <v>0</v>
      </c>
      <c r="H32" s="21"/>
      <c r="I32" s="21"/>
      <c r="J32" s="21"/>
      <c r="K32" s="21"/>
    </row>
    <row r="33" spans="2:11" ht="14.65" customHeight="1" x14ac:dyDescent="0.2">
      <c r="B33" s="78" t="s">
        <v>79</v>
      </c>
      <c r="C33" s="76"/>
      <c r="D33" s="58"/>
      <c r="E33" s="138">
        <v>0.12</v>
      </c>
      <c r="F33" s="80" t="s">
        <v>80</v>
      </c>
      <c r="G33" s="81">
        <v>0</v>
      </c>
      <c r="H33" s="82"/>
      <c r="I33" s="82"/>
      <c r="J33" s="82"/>
      <c r="K33" s="82"/>
    </row>
    <row r="34" spans="2:11" x14ac:dyDescent="0.2">
      <c r="B34" s="245" t="s">
        <v>81</v>
      </c>
      <c r="C34" s="246"/>
      <c r="D34" s="56"/>
      <c r="E34" s="135">
        <v>0.08</v>
      </c>
      <c r="F34" s="71" t="s">
        <v>80</v>
      </c>
      <c r="G34" s="70">
        <v>0</v>
      </c>
      <c r="H34" s="21"/>
      <c r="I34" s="21"/>
      <c r="J34" s="21"/>
      <c r="K34" s="21"/>
    </row>
    <row r="35" spans="2:11" ht="15" thickBot="1" x14ac:dyDescent="0.25">
      <c r="B35" s="251" t="s">
        <v>78</v>
      </c>
      <c r="C35" s="252"/>
      <c r="D35" s="57"/>
      <c r="E35" s="136">
        <v>0.05</v>
      </c>
      <c r="F35" s="72" t="s">
        <v>82</v>
      </c>
      <c r="G35" s="70">
        <f>+E35*(G30+G33+G34)</f>
        <v>4500</v>
      </c>
      <c r="H35" s="21"/>
      <c r="I35" s="21"/>
      <c r="J35" s="21"/>
      <c r="K35" s="21"/>
    </row>
    <row r="36" spans="2:11" ht="15" x14ac:dyDescent="0.25">
      <c r="B36" s="239" t="s">
        <v>55</v>
      </c>
      <c r="C36" s="240"/>
      <c r="D36" s="240"/>
      <c r="E36" s="240"/>
      <c r="F36" s="240"/>
      <c r="G36" s="38">
        <f>+SUM(G32:G35)</f>
        <v>4500</v>
      </c>
      <c r="H36" s="21"/>
      <c r="I36" s="21"/>
      <c r="J36" s="21"/>
      <c r="K36" s="21"/>
    </row>
    <row r="37" spans="2:11" ht="15.75" thickBot="1" x14ac:dyDescent="0.3">
      <c r="B37" s="53"/>
      <c r="C37" s="54"/>
      <c r="D37" s="54"/>
      <c r="E37" s="54"/>
      <c r="F37" s="55"/>
      <c r="G37" s="35"/>
      <c r="H37" s="21"/>
      <c r="I37" s="21"/>
      <c r="J37" s="21"/>
      <c r="K37" s="21"/>
    </row>
    <row r="38" spans="2:11" ht="15" x14ac:dyDescent="0.25">
      <c r="B38" s="236" t="s">
        <v>57</v>
      </c>
      <c r="C38" s="237"/>
      <c r="D38" s="237"/>
      <c r="E38" s="237"/>
      <c r="F38" s="238"/>
      <c r="G38" s="38">
        <f>+SUM(G30,G36)</f>
        <v>94500</v>
      </c>
      <c r="H38" s="21"/>
      <c r="I38" s="21"/>
      <c r="J38" s="21"/>
      <c r="K38" s="21"/>
    </row>
    <row r="39" spans="2:11" ht="15.75" thickBot="1" x14ac:dyDescent="0.3">
      <c r="B39" s="239" t="s">
        <v>56</v>
      </c>
      <c r="C39" s="240"/>
      <c r="D39" s="240"/>
      <c r="E39" s="240"/>
      <c r="F39" s="240"/>
      <c r="G39" s="38">
        <f>+G38/C9</f>
        <v>15750</v>
      </c>
      <c r="H39" s="21"/>
      <c r="I39" s="21"/>
      <c r="J39" s="21"/>
      <c r="K39" s="21"/>
    </row>
    <row r="40" spans="2:11" x14ac:dyDescent="0.2">
      <c r="B40" s="21"/>
      <c r="C40" s="21"/>
      <c r="D40" s="22"/>
      <c r="E40" s="22"/>
      <c r="F40" s="22"/>
      <c r="G40" s="22"/>
      <c r="H40" s="21"/>
      <c r="I40" s="21"/>
      <c r="J40" s="21"/>
      <c r="K40" s="21"/>
    </row>
    <row r="41" spans="2:11" x14ac:dyDescent="0.2">
      <c r="B41" s="21"/>
      <c r="C41" s="21"/>
      <c r="D41" s="22"/>
      <c r="E41" s="22"/>
      <c r="F41" s="22"/>
      <c r="G41" s="22"/>
      <c r="H41" s="21"/>
      <c r="I41" s="21"/>
      <c r="J41" s="21"/>
      <c r="K41" s="21"/>
    </row>
  </sheetData>
  <mergeCells count="25">
    <mergeCell ref="B13:G13"/>
    <mergeCell ref="B21:C21"/>
    <mergeCell ref="B22:C22"/>
    <mergeCell ref="B26:C26"/>
    <mergeCell ref="B27:C27"/>
    <mergeCell ref="B20:G20"/>
    <mergeCell ref="B23:C23"/>
    <mergeCell ref="B24:F24"/>
    <mergeCell ref="B25:G25"/>
    <mergeCell ref="B18:C18"/>
    <mergeCell ref="B19:F19"/>
    <mergeCell ref="B14:C14"/>
    <mergeCell ref="B15:C15"/>
    <mergeCell ref="B16:C16"/>
    <mergeCell ref="B17:C17"/>
    <mergeCell ref="B39:F39"/>
    <mergeCell ref="B28:C28"/>
    <mergeCell ref="B32:D32"/>
    <mergeCell ref="B34:C34"/>
    <mergeCell ref="B35:C35"/>
    <mergeCell ref="B38:F38"/>
    <mergeCell ref="B36:F36"/>
    <mergeCell ref="B29:F29"/>
    <mergeCell ref="B30:F30"/>
    <mergeCell ref="B31:F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84"/>
  <sheetViews>
    <sheetView topLeftCell="A31" zoomScale="85" zoomScaleNormal="85" workbookViewId="0">
      <selection activeCell="K45" sqref="K45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5" style="2" customWidth="1"/>
    <col min="8" max="8" width="17" style="1" customWidth="1"/>
    <col min="9" max="9" width="15.85546875" style="1" customWidth="1"/>
    <col min="10" max="10" width="9.28515625" style="1" customWidth="1"/>
    <col min="11" max="11" width="8.7109375" style="1"/>
    <col min="12" max="12" width="11" style="1" customWidth="1"/>
    <col min="13" max="13" width="8.7109375" style="1"/>
    <col min="14" max="14" width="12.7109375" style="1" bestFit="1" customWidth="1"/>
    <col min="15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+BOQ!B43</f>
        <v>0</v>
      </c>
    </row>
    <row r="7" spans="2:11" ht="15" x14ac:dyDescent="0.25">
      <c r="B7" s="7" t="s">
        <v>48</v>
      </c>
      <c r="C7" s="19" t="str">
        <f>+BOQ!C43</f>
        <v>Concrete Works</v>
      </c>
    </row>
    <row r="8" spans="2:11" ht="15" x14ac:dyDescent="0.25">
      <c r="B8" s="7" t="s">
        <v>47</v>
      </c>
      <c r="C8" s="19">
        <f>+BOQ!B44</f>
        <v>0</v>
      </c>
    </row>
    <row r="9" spans="2:11" ht="15" x14ac:dyDescent="0.25">
      <c r="B9" s="7" t="s">
        <v>49</v>
      </c>
      <c r="C9" s="19" t="str">
        <f>+BOQ!C44</f>
        <v>Fabrication of Reinforcing Bars for Footing, Columns &amp; Beams</v>
      </c>
    </row>
    <row r="10" spans="2:11" x14ac:dyDescent="0.2">
      <c r="B10" s="7"/>
    </row>
    <row r="11" spans="2:11" x14ac:dyDescent="0.2">
      <c r="B11" s="21" t="s">
        <v>45</v>
      </c>
      <c r="C11" s="76">
        <v>1</v>
      </c>
      <c r="D11" s="21" t="s">
        <v>44</v>
      </c>
      <c r="E11" s="77" t="s">
        <v>97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26" t="s">
        <v>4</v>
      </c>
      <c r="E16" s="126" t="s">
        <v>5</v>
      </c>
      <c r="F16" s="12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 t="s">
        <v>204</v>
      </c>
      <c r="C17" s="244"/>
      <c r="D17" s="128">
        <v>1</v>
      </c>
      <c r="E17" s="128" t="s">
        <v>203</v>
      </c>
      <c r="F17" s="128">
        <v>250000</v>
      </c>
      <c r="G17" s="30">
        <f t="shared" ref="G17:G22" si="0">+D17*F17</f>
        <v>250000</v>
      </c>
      <c r="H17" s="21"/>
      <c r="I17" s="21"/>
      <c r="J17" s="21"/>
      <c r="K17" s="21"/>
    </row>
    <row r="18" spans="2:11" x14ac:dyDescent="0.2">
      <c r="B18" s="243" t="s">
        <v>206</v>
      </c>
      <c r="C18" s="244"/>
      <c r="D18" s="128">
        <v>1</v>
      </c>
      <c r="E18" s="128" t="s">
        <v>203</v>
      </c>
      <c r="F18" s="186">
        <v>250000</v>
      </c>
      <c r="G18" s="30">
        <f t="shared" si="0"/>
        <v>250000</v>
      </c>
      <c r="H18" s="21"/>
      <c r="I18" s="21"/>
      <c r="J18" s="21"/>
      <c r="K18" s="21"/>
    </row>
    <row r="19" spans="2:11" x14ac:dyDescent="0.2">
      <c r="B19" s="243" t="s">
        <v>207</v>
      </c>
      <c r="C19" s="244"/>
      <c r="D19" s="128">
        <v>1</v>
      </c>
      <c r="E19" s="128" t="s">
        <v>203</v>
      </c>
      <c r="F19" s="186">
        <v>250000</v>
      </c>
      <c r="G19" s="30">
        <f t="shared" si="0"/>
        <v>250000</v>
      </c>
      <c r="H19" s="21"/>
      <c r="I19" s="21"/>
      <c r="J19" s="21"/>
      <c r="K19" s="21"/>
    </row>
    <row r="20" spans="2:11" x14ac:dyDescent="0.2">
      <c r="B20" s="243" t="s">
        <v>208</v>
      </c>
      <c r="C20" s="244"/>
      <c r="D20" s="128">
        <v>1</v>
      </c>
      <c r="E20" s="128" t="s">
        <v>203</v>
      </c>
      <c r="F20" s="186">
        <v>250000</v>
      </c>
      <c r="G20" s="30">
        <f t="shared" si="0"/>
        <v>250000</v>
      </c>
      <c r="H20" s="21"/>
      <c r="I20" s="21"/>
      <c r="J20" s="21"/>
      <c r="K20" s="21"/>
    </row>
    <row r="21" spans="2:11" x14ac:dyDescent="0.2">
      <c r="B21" s="243" t="s">
        <v>205</v>
      </c>
      <c r="C21" s="244"/>
      <c r="D21" s="128">
        <v>1</v>
      </c>
      <c r="E21" s="128" t="s">
        <v>203</v>
      </c>
      <c r="F21" s="186">
        <v>250000</v>
      </c>
      <c r="G21" s="30">
        <f t="shared" si="0"/>
        <v>250000</v>
      </c>
      <c r="H21" s="21"/>
      <c r="I21" s="21"/>
      <c r="J21" s="21"/>
      <c r="K21" s="21"/>
    </row>
    <row r="22" spans="2:11" x14ac:dyDescent="0.2">
      <c r="B22" s="264" t="s">
        <v>211</v>
      </c>
      <c r="C22" s="265"/>
      <c r="D22" s="128">
        <v>10</v>
      </c>
      <c r="E22" s="128" t="s">
        <v>212</v>
      </c>
      <c r="F22" s="128">
        <v>3000</v>
      </c>
      <c r="G22" s="30">
        <f t="shared" si="0"/>
        <v>30000</v>
      </c>
      <c r="H22" s="21"/>
      <c r="I22" s="21"/>
      <c r="J22" s="21"/>
      <c r="K22" s="21"/>
    </row>
    <row r="23" spans="2:11" x14ac:dyDescent="0.2">
      <c r="B23" s="243"/>
      <c r="C23" s="244"/>
      <c r="D23" s="128"/>
      <c r="E23" s="128"/>
      <c r="F23" s="128"/>
      <c r="G23" s="30"/>
      <c r="H23" s="21"/>
      <c r="I23" s="21"/>
      <c r="J23" s="21"/>
      <c r="K23" s="21"/>
    </row>
    <row r="24" spans="2:11" ht="15" thickBot="1" x14ac:dyDescent="0.25">
      <c r="B24" s="258" t="s">
        <v>51</v>
      </c>
      <c r="C24" s="259"/>
      <c r="D24" s="259"/>
      <c r="E24" s="259"/>
      <c r="F24" s="259"/>
      <c r="G24" s="67">
        <f>+SUM(G17:G23)</f>
        <v>1280000</v>
      </c>
      <c r="H24" s="21"/>
      <c r="I24" s="21"/>
      <c r="J24" s="21"/>
      <c r="K24" s="21"/>
    </row>
    <row r="25" spans="2:11" ht="15" thickBot="1" x14ac:dyDescent="0.25">
      <c r="B25" s="255" t="s">
        <v>75</v>
      </c>
      <c r="C25" s="256"/>
      <c r="D25" s="256"/>
      <c r="E25" s="256"/>
      <c r="F25" s="256"/>
      <c r="G25" s="257"/>
      <c r="H25" s="21"/>
      <c r="I25" s="21"/>
      <c r="J25" s="21"/>
      <c r="K25" s="21"/>
    </row>
    <row r="26" spans="2:11" ht="15" x14ac:dyDescent="0.2">
      <c r="B26" s="266" t="s">
        <v>2</v>
      </c>
      <c r="C26" s="267"/>
      <c r="D26" s="129" t="s">
        <v>3</v>
      </c>
      <c r="E26" s="129" t="s">
        <v>68</v>
      </c>
      <c r="F26" s="129" t="s">
        <v>69</v>
      </c>
      <c r="G26" s="51" t="s">
        <v>7</v>
      </c>
      <c r="H26" s="33"/>
      <c r="I26" s="33"/>
      <c r="J26" s="33"/>
      <c r="K26" s="33"/>
    </row>
    <row r="27" spans="2:11" x14ac:dyDescent="0.2">
      <c r="B27" s="264" t="s">
        <v>71</v>
      </c>
      <c r="C27" s="265"/>
      <c r="D27" s="128">
        <v>1</v>
      </c>
      <c r="E27" s="128">
        <v>2000</v>
      </c>
      <c r="F27" s="128">
        <v>2.500394</v>
      </c>
      <c r="G27" s="30">
        <f>+D27*E27*F27</f>
        <v>5000.7880000000005</v>
      </c>
      <c r="H27" s="21"/>
      <c r="I27" s="21"/>
      <c r="J27" s="21"/>
      <c r="K27" s="21"/>
    </row>
    <row r="28" spans="2:11" x14ac:dyDescent="0.2">
      <c r="B28" s="264" t="s">
        <v>209</v>
      </c>
      <c r="C28" s="265"/>
      <c r="D28" s="128">
        <v>1</v>
      </c>
      <c r="E28" s="128">
        <v>500</v>
      </c>
      <c r="F28" s="128">
        <v>10</v>
      </c>
      <c r="G28" s="30">
        <f>+D28*E28*F28</f>
        <v>5000</v>
      </c>
      <c r="I28" s="21"/>
      <c r="J28" s="21"/>
      <c r="K28" s="21"/>
    </row>
    <row r="29" spans="2:11" x14ac:dyDescent="0.2">
      <c r="B29" s="264" t="s">
        <v>210</v>
      </c>
      <c r="C29" s="265"/>
      <c r="D29" s="128">
        <v>1</v>
      </c>
      <c r="E29" s="128">
        <v>500</v>
      </c>
      <c r="F29" s="128">
        <f>+F28</f>
        <v>10</v>
      </c>
      <c r="G29" s="30">
        <f>+D29*E29*F29</f>
        <v>5000</v>
      </c>
      <c r="H29" s="21"/>
      <c r="I29" s="21"/>
      <c r="J29" s="21"/>
      <c r="K29" s="21"/>
    </row>
    <row r="30" spans="2:11" x14ac:dyDescent="0.2">
      <c r="B30" s="243" t="s">
        <v>89</v>
      </c>
      <c r="C30" s="244"/>
      <c r="D30" s="128">
        <v>2</v>
      </c>
      <c r="E30" s="128">
        <v>200</v>
      </c>
      <c r="F30" s="128">
        <f>+F28</f>
        <v>10</v>
      </c>
      <c r="G30" s="30">
        <f>+D30*E30*F30</f>
        <v>4000</v>
      </c>
      <c r="H30" s="21"/>
      <c r="I30" s="21"/>
      <c r="J30" s="21"/>
      <c r="K30" s="21"/>
    </row>
    <row r="31" spans="2:11" x14ac:dyDescent="0.2">
      <c r="B31" s="243"/>
      <c r="C31" s="244"/>
      <c r="D31" s="128"/>
      <c r="E31" s="128"/>
      <c r="F31" s="128"/>
      <c r="G31" s="30"/>
      <c r="H31" s="21"/>
      <c r="I31" s="21"/>
      <c r="J31" s="21"/>
      <c r="K31" s="21"/>
    </row>
    <row r="32" spans="2:11" ht="15" thickBot="1" x14ac:dyDescent="0.25">
      <c r="B32" s="253" t="s">
        <v>52</v>
      </c>
      <c r="C32" s="254"/>
      <c r="D32" s="254"/>
      <c r="E32" s="254"/>
      <c r="F32" s="254"/>
      <c r="G32" s="68">
        <f>+SUM(G27:G31)</f>
        <v>19000.788</v>
      </c>
      <c r="I32" s="21"/>
      <c r="J32" s="21"/>
      <c r="K32" s="21"/>
    </row>
    <row r="33" spans="2:12" ht="15" thickBot="1" x14ac:dyDescent="0.25">
      <c r="B33" s="255" t="s">
        <v>76</v>
      </c>
      <c r="C33" s="256"/>
      <c r="D33" s="256"/>
      <c r="E33" s="256"/>
      <c r="F33" s="256"/>
      <c r="G33" s="257"/>
      <c r="I33" s="21"/>
      <c r="J33" s="21"/>
      <c r="K33" s="21"/>
    </row>
    <row r="34" spans="2:12" ht="15" x14ac:dyDescent="0.2">
      <c r="B34" s="241" t="s">
        <v>2</v>
      </c>
      <c r="C34" s="242"/>
      <c r="D34" s="130" t="s">
        <v>3</v>
      </c>
      <c r="E34" s="130" t="s">
        <v>68</v>
      </c>
      <c r="F34" s="130" t="s">
        <v>69</v>
      </c>
      <c r="G34" s="32" t="s">
        <v>7</v>
      </c>
      <c r="H34" s="21"/>
      <c r="I34" s="21"/>
      <c r="J34" s="21"/>
      <c r="K34" s="21"/>
    </row>
    <row r="35" spans="2:12" x14ac:dyDescent="0.2">
      <c r="B35" s="243" t="s">
        <v>72</v>
      </c>
      <c r="C35" s="244"/>
      <c r="D35" s="128">
        <v>1</v>
      </c>
      <c r="E35" s="128">
        <v>750</v>
      </c>
      <c r="F35" s="128">
        <v>22</v>
      </c>
      <c r="G35" s="30">
        <f>+D35*E35*F35</f>
        <v>16500</v>
      </c>
      <c r="H35" s="21"/>
      <c r="I35" s="21"/>
      <c r="J35" s="21"/>
      <c r="K35" s="21"/>
    </row>
    <row r="36" spans="2:12" x14ac:dyDescent="0.2">
      <c r="B36" s="264" t="s">
        <v>122</v>
      </c>
      <c r="C36" s="265"/>
      <c r="D36" s="128">
        <v>10</v>
      </c>
      <c r="E36" s="128">
        <v>600</v>
      </c>
      <c r="F36" s="128">
        <f>+F35</f>
        <v>22</v>
      </c>
      <c r="G36" s="30">
        <f>+D36*E36*F36</f>
        <v>132000</v>
      </c>
      <c r="H36" s="21"/>
      <c r="I36" s="21"/>
      <c r="J36" s="21"/>
      <c r="K36" s="21"/>
    </row>
    <row r="37" spans="2:12" x14ac:dyDescent="0.2">
      <c r="B37" s="243" t="s">
        <v>73</v>
      </c>
      <c r="C37" s="244"/>
      <c r="D37" s="128">
        <v>10</v>
      </c>
      <c r="E37" s="128">
        <v>450</v>
      </c>
      <c r="F37" s="128">
        <f>+F36</f>
        <v>22</v>
      </c>
      <c r="G37" s="30">
        <f>+D37*E37*F37</f>
        <v>99000</v>
      </c>
      <c r="H37" s="21"/>
      <c r="I37" s="21"/>
      <c r="J37" s="21"/>
      <c r="K37" s="21"/>
    </row>
    <row r="38" spans="2:12" x14ac:dyDescent="0.2">
      <c r="B38" s="243"/>
      <c r="C38" s="244"/>
      <c r="D38" s="128"/>
      <c r="E38" s="128"/>
      <c r="F38" s="128"/>
      <c r="G38" s="30"/>
      <c r="H38" s="21"/>
      <c r="I38" s="21"/>
      <c r="J38" s="21"/>
      <c r="K38" s="21"/>
    </row>
    <row r="39" spans="2:12" x14ac:dyDescent="0.2">
      <c r="B39" s="243"/>
      <c r="C39" s="244"/>
      <c r="D39" s="128"/>
      <c r="E39" s="128"/>
      <c r="F39" s="128"/>
      <c r="G39" s="30"/>
      <c r="H39" s="21"/>
      <c r="I39" s="21"/>
      <c r="J39" s="21"/>
      <c r="K39" s="21"/>
    </row>
    <row r="40" spans="2:12" ht="15" thickBot="1" x14ac:dyDescent="0.25">
      <c r="B40" s="258" t="s">
        <v>53</v>
      </c>
      <c r="C40" s="259"/>
      <c r="D40" s="259"/>
      <c r="E40" s="259"/>
      <c r="F40" s="259"/>
      <c r="G40" s="67">
        <f>+SUM(G35:G39)</f>
        <v>247500</v>
      </c>
      <c r="H40" s="21"/>
      <c r="I40" s="21"/>
      <c r="J40" s="21"/>
      <c r="K40" s="21"/>
    </row>
    <row r="41" spans="2:12" ht="15.75" thickBot="1" x14ac:dyDescent="0.3">
      <c r="B41" s="239" t="s">
        <v>77</v>
      </c>
      <c r="C41" s="240"/>
      <c r="D41" s="240"/>
      <c r="E41" s="240"/>
      <c r="F41" s="240"/>
      <c r="G41" s="52">
        <f>+SUM(G24,G32,G40)</f>
        <v>1546500.7879999999</v>
      </c>
      <c r="H41" s="21"/>
      <c r="I41" s="21"/>
      <c r="J41" s="21"/>
      <c r="K41" s="21"/>
    </row>
    <row r="42" spans="2:12" x14ac:dyDescent="0.2">
      <c r="B42" s="247"/>
      <c r="C42" s="248"/>
      <c r="D42" s="248"/>
      <c r="E42" s="248"/>
      <c r="F42" s="248"/>
      <c r="G42" s="34"/>
      <c r="H42" s="21"/>
      <c r="I42" s="21"/>
      <c r="J42" s="21"/>
      <c r="K42" s="21"/>
    </row>
    <row r="43" spans="2:12" x14ac:dyDescent="0.2">
      <c r="B43" s="249" t="s">
        <v>149</v>
      </c>
      <c r="C43" s="250"/>
      <c r="D43" s="250"/>
      <c r="E43" s="137">
        <v>0.01</v>
      </c>
      <c r="F43" s="80" t="s">
        <v>80</v>
      </c>
      <c r="G43" s="34">
        <f>+G41*E43</f>
        <v>15465.007879999999</v>
      </c>
      <c r="H43" s="21"/>
      <c r="I43" s="21"/>
      <c r="J43" s="21"/>
      <c r="K43" s="21"/>
    </row>
    <row r="44" spans="2:12" ht="14.65" customHeight="1" x14ac:dyDescent="0.2">
      <c r="B44" s="78" t="s">
        <v>79</v>
      </c>
      <c r="C44" s="76"/>
      <c r="D44" s="58"/>
      <c r="E44" s="139">
        <v>0.12</v>
      </c>
      <c r="F44" s="80" t="s">
        <v>80</v>
      </c>
      <c r="G44" s="81">
        <f>+G41*E44</f>
        <v>185580.09456</v>
      </c>
      <c r="H44" s="82"/>
      <c r="I44" s="82"/>
      <c r="J44" s="82"/>
      <c r="K44" s="82"/>
    </row>
    <row r="45" spans="2:12" x14ac:dyDescent="0.2">
      <c r="B45" s="245" t="s">
        <v>81</v>
      </c>
      <c r="C45" s="246"/>
      <c r="D45" s="56"/>
      <c r="E45" s="140">
        <v>0.08</v>
      </c>
      <c r="F45" s="71" t="s">
        <v>80</v>
      </c>
      <c r="G45" s="70">
        <f>+G41*E45</f>
        <v>123720.06303999999</v>
      </c>
      <c r="H45" s="21"/>
      <c r="I45" s="21"/>
      <c r="J45" s="21"/>
      <c r="K45" s="21"/>
    </row>
    <row r="46" spans="2:12" ht="15" thickBot="1" x14ac:dyDescent="0.25">
      <c r="B46" s="251" t="s">
        <v>78</v>
      </c>
      <c r="C46" s="252"/>
      <c r="D46" s="57"/>
      <c r="E46" s="141">
        <v>0.05</v>
      </c>
      <c r="F46" s="72" t="s">
        <v>82</v>
      </c>
      <c r="G46" s="70">
        <f>+E46*(G41+G44+G45)</f>
        <v>92790.047279999999</v>
      </c>
      <c r="H46" s="21"/>
      <c r="I46" s="21"/>
      <c r="J46" s="21"/>
      <c r="K46" s="21"/>
    </row>
    <row r="47" spans="2:12" ht="15.75" thickBot="1" x14ac:dyDescent="0.3">
      <c r="B47" s="239" t="s">
        <v>55</v>
      </c>
      <c r="C47" s="240"/>
      <c r="D47" s="240"/>
      <c r="E47" s="240"/>
      <c r="F47" s="240"/>
      <c r="G47" s="38">
        <f>+SUM(G43:G46)</f>
        <v>417555.21275999997</v>
      </c>
      <c r="H47" s="21"/>
      <c r="I47" s="21"/>
      <c r="J47" s="21"/>
      <c r="K47" s="21"/>
      <c r="L47" s="1">
        <f>+(500000*192)/28</f>
        <v>3428571.4285714286</v>
      </c>
    </row>
    <row r="48" spans="2:12" ht="15.75" thickBot="1" x14ac:dyDescent="0.3">
      <c r="B48" s="53"/>
      <c r="C48" s="54"/>
      <c r="D48" s="54"/>
      <c r="E48" s="54"/>
      <c r="F48" s="55"/>
      <c r="G48" s="35"/>
      <c r="H48" s="21"/>
      <c r="I48" s="21"/>
      <c r="J48" s="21"/>
      <c r="K48" s="21"/>
    </row>
    <row r="49" spans="2:14" ht="15.75" thickBot="1" x14ac:dyDescent="0.3">
      <c r="B49" s="236" t="s">
        <v>57</v>
      </c>
      <c r="C49" s="237"/>
      <c r="D49" s="237"/>
      <c r="E49" s="237"/>
      <c r="F49" s="238"/>
      <c r="G49" s="38">
        <f>+SUM(G41,G47)</f>
        <v>1964056.00076</v>
      </c>
      <c r="I49" s="21">
        <v>500000</v>
      </c>
      <c r="J49" s="21"/>
      <c r="K49" s="21"/>
    </row>
    <row r="50" spans="2:14" ht="15.75" thickBot="1" x14ac:dyDescent="0.3">
      <c r="B50" s="239" t="s">
        <v>56</v>
      </c>
      <c r="C50" s="240"/>
      <c r="D50" s="240"/>
      <c r="E50" s="240"/>
      <c r="F50" s="240"/>
      <c r="G50" s="38">
        <f>+G49/C11</f>
        <v>1964056.00076</v>
      </c>
      <c r="I50" s="21">
        <f>+G50-I49</f>
        <v>1464056.00076</v>
      </c>
      <c r="J50" s="21"/>
      <c r="K50" s="21"/>
    </row>
    <row r="51" spans="2:14" x14ac:dyDescent="0.2">
      <c r="B51" s="21"/>
      <c r="C51" s="21"/>
      <c r="D51" s="22"/>
      <c r="E51" s="22"/>
      <c r="F51" s="22"/>
      <c r="G51" s="22"/>
      <c r="I51" s="21"/>
      <c r="J51" s="21"/>
      <c r="K51" s="21"/>
    </row>
    <row r="52" spans="2:14" x14ac:dyDescent="0.2">
      <c r="B52" s="21"/>
      <c r="C52" s="21"/>
      <c r="D52" s="22"/>
      <c r="E52" s="22"/>
      <c r="F52" s="22"/>
      <c r="G52" s="22"/>
      <c r="H52" s="21"/>
      <c r="I52" s="21"/>
      <c r="J52" s="21"/>
      <c r="K52" s="21"/>
    </row>
    <row r="53" spans="2:14" x14ac:dyDescent="0.2">
      <c r="B53" s="24"/>
      <c r="C53" s="21"/>
      <c r="D53" s="22"/>
      <c r="E53" s="22"/>
      <c r="F53" s="22"/>
      <c r="G53" s="22"/>
      <c r="H53" s="21"/>
      <c r="I53" s="21"/>
      <c r="J53" s="21"/>
      <c r="K53" s="21"/>
    </row>
    <row r="54" spans="2:14" ht="15" thickBot="1" x14ac:dyDescent="0.25">
      <c r="B54" s="24" t="s">
        <v>58</v>
      </c>
      <c r="C54" s="21"/>
      <c r="D54" s="22"/>
      <c r="E54" s="22"/>
      <c r="F54" s="22"/>
      <c r="G54" s="22"/>
      <c r="H54" s="21"/>
      <c r="I54" s="21"/>
      <c r="J54" s="21"/>
      <c r="K54" s="21"/>
    </row>
    <row r="55" spans="2:14" ht="15.75" thickBot="1" x14ac:dyDescent="0.3">
      <c r="B55" s="36" t="s">
        <v>59</v>
      </c>
      <c r="C55" s="37" t="s">
        <v>60</v>
      </c>
      <c r="D55" s="37" t="s">
        <v>61</v>
      </c>
      <c r="E55" s="37" t="s">
        <v>62</v>
      </c>
      <c r="F55" s="37" t="s">
        <v>63</v>
      </c>
      <c r="G55" s="37" t="s">
        <v>64</v>
      </c>
      <c r="H55" s="37" t="s">
        <v>156</v>
      </c>
      <c r="I55" s="37" t="s">
        <v>66</v>
      </c>
      <c r="J55" s="37" t="s">
        <v>67</v>
      </c>
      <c r="K55" s="38" t="s">
        <v>43</v>
      </c>
    </row>
    <row r="56" spans="2:14" x14ac:dyDescent="0.2">
      <c r="B56" s="40"/>
      <c r="C56" s="41"/>
      <c r="D56" s="187"/>
      <c r="E56" s="187"/>
      <c r="F56" s="187"/>
      <c r="G56" s="187"/>
      <c r="H56" s="41"/>
      <c r="I56" s="41"/>
      <c r="J56" s="41"/>
      <c r="K56" s="43"/>
    </row>
    <row r="57" spans="2:14" ht="15" x14ac:dyDescent="0.25">
      <c r="B57" s="188">
        <f>+C8</f>
        <v>0</v>
      </c>
      <c r="C57" s="75" t="str">
        <f>+C9</f>
        <v>Fabrication of Reinforcing Bars for Footing, Columns &amp; Beams</v>
      </c>
      <c r="D57" s="187"/>
      <c r="E57" s="187"/>
      <c r="F57" s="187"/>
      <c r="G57" s="187"/>
      <c r="H57" s="41"/>
      <c r="I57" s="41"/>
      <c r="J57" s="41"/>
      <c r="K57" s="43"/>
    </row>
    <row r="58" spans="2:14" ht="15" x14ac:dyDescent="0.25">
      <c r="B58" s="188">
        <f>+C10</f>
        <v>0</v>
      </c>
      <c r="C58" s="75">
        <f>+C11</f>
        <v>1</v>
      </c>
      <c r="D58" s="187"/>
      <c r="E58" s="187"/>
      <c r="F58" s="187"/>
      <c r="G58" s="187"/>
      <c r="H58" s="41"/>
      <c r="I58" s="41"/>
      <c r="J58" s="73">
        <f>+SUM(J59:J78)</f>
        <v>192.09582399999996</v>
      </c>
      <c r="K58" s="74" t="s">
        <v>95</v>
      </c>
      <c r="L58" s="194">
        <f>+SUM(L59:L78)</f>
        <v>5100</v>
      </c>
      <c r="M58" s="19" t="s">
        <v>236</v>
      </c>
      <c r="N58" s="21">
        <f>+L58*70</f>
        <v>357000</v>
      </c>
    </row>
    <row r="59" spans="2:14" x14ac:dyDescent="0.2">
      <c r="B59" s="185" t="s">
        <v>86</v>
      </c>
      <c r="C59" s="44" t="s">
        <v>91</v>
      </c>
      <c r="D59" s="186">
        <v>8</v>
      </c>
      <c r="E59" s="186">
        <v>2</v>
      </c>
      <c r="F59" s="186">
        <v>1.8</v>
      </c>
      <c r="G59" s="186">
        <v>1.8</v>
      </c>
      <c r="H59" s="44">
        <v>0.37</v>
      </c>
      <c r="I59" s="44">
        <v>1.03</v>
      </c>
      <c r="J59" s="44">
        <f>+D59*E59*F59*G59*H59*I59</f>
        <v>19.756224000000003</v>
      </c>
      <c r="K59" s="45" t="s">
        <v>95</v>
      </c>
      <c r="L59" s="21">
        <v>200</v>
      </c>
      <c r="M59" s="1" t="s">
        <v>236</v>
      </c>
    </row>
    <row r="60" spans="2:14" x14ac:dyDescent="0.2">
      <c r="B60" s="83" t="s">
        <v>87</v>
      </c>
      <c r="C60" s="84" t="s">
        <v>230</v>
      </c>
      <c r="D60" s="85">
        <f>8*3</f>
        <v>24</v>
      </c>
      <c r="E60" s="85">
        <v>2</v>
      </c>
      <c r="F60" s="85">
        <v>0.3</v>
      </c>
      <c r="G60" s="85">
        <v>0.3</v>
      </c>
      <c r="H60" s="84">
        <v>3</v>
      </c>
      <c r="I60" s="44">
        <v>1.03</v>
      </c>
      <c r="J60" s="44">
        <f t="shared" ref="J60:J74" si="1">+D60*E60*F60*G60*H60*I60</f>
        <v>13.348799999999997</v>
      </c>
      <c r="K60" s="45" t="s">
        <v>95</v>
      </c>
      <c r="L60" s="21">
        <v>450</v>
      </c>
      <c r="M60" s="1" t="s">
        <v>236</v>
      </c>
    </row>
    <row r="61" spans="2:14" x14ac:dyDescent="0.2">
      <c r="B61" s="83" t="s">
        <v>88</v>
      </c>
      <c r="C61" s="84" t="s">
        <v>229</v>
      </c>
      <c r="D61" s="85">
        <v>8</v>
      </c>
      <c r="E61" s="85">
        <v>3</v>
      </c>
      <c r="F61" s="85">
        <v>0.3</v>
      </c>
      <c r="G61" s="85">
        <v>0.3</v>
      </c>
      <c r="H61" s="84">
        <f>3+2</f>
        <v>5</v>
      </c>
      <c r="I61" s="44">
        <v>1.03</v>
      </c>
      <c r="J61" s="44">
        <f t="shared" si="1"/>
        <v>11.123999999999999</v>
      </c>
      <c r="K61" s="45" t="s">
        <v>95</v>
      </c>
      <c r="L61" s="21">
        <v>450</v>
      </c>
      <c r="M61" s="1" t="s">
        <v>236</v>
      </c>
    </row>
    <row r="62" spans="2:14" x14ac:dyDescent="0.2">
      <c r="B62" s="83" t="s">
        <v>159</v>
      </c>
      <c r="C62" s="84" t="s">
        <v>102</v>
      </c>
      <c r="D62" s="85"/>
      <c r="E62" s="85"/>
      <c r="F62" s="85"/>
      <c r="G62" s="85"/>
      <c r="H62" s="84"/>
      <c r="I62" s="44"/>
      <c r="J62" s="44"/>
      <c r="K62" s="45"/>
      <c r="L62" s="21"/>
    </row>
    <row r="63" spans="2:14" x14ac:dyDescent="0.2">
      <c r="B63" s="83" t="s">
        <v>110</v>
      </c>
      <c r="C63" s="84" t="s">
        <v>104</v>
      </c>
      <c r="D63" s="85"/>
      <c r="E63" s="85"/>
      <c r="F63" s="85"/>
      <c r="G63" s="85"/>
      <c r="H63" s="84"/>
      <c r="I63" s="44"/>
      <c r="J63" s="44"/>
      <c r="K63" s="86"/>
      <c r="L63" s="21"/>
    </row>
    <row r="64" spans="2:14" x14ac:dyDescent="0.2">
      <c r="B64" s="83"/>
      <c r="C64" s="84" t="s">
        <v>109</v>
      </c>
      <c r="D64" s="85">
        <v>1</v>
      </c>
      <c r="E64" s="85">
        <f>2*2</f>
        <v>4</v>
      </c>
      <c r="F64" s="85">
        <v>0.25</v>
      </c>
      <c r="G64" s="85">
        <v>0.5</v>
      </c>
      <c r="H64" s="84">
        <v>6.5</v>
      </c>
      <c r="I64" s="44">
        <v>1.03</v>
      </c>
      <c r="J64" s="44">
        <f>+D64*E64*F64*G64*H64*I64</f>
        <v>3.3475000000000001</v>
      </c>
      <c r="K64" s="86" t="s">
        <v>95</v>
      </c>
      <c r="L64" s="21">
        <v>300</v>
      </c>
      <c r="M64" s="1" t="s">
        <v>236</v>
      </c>
    </row>
    <row r="65" spans="2:13" x14ac:dyDescent="0.2">
      <c r="B65" s="83"/>
      <c r="C65" s="84" t="s">
        <v>106</v>
      </c>
      <c r="D65" s="85">
        <v>2</v>
      </c>
      <c r="E65" s="85">
        <f t="shared" ref="E65:E67" si="2">2*2</f>
        <v>4</v>
      </c>
      <c r="F65" s="85">
        <v>0.3</v>
      </c>
      <c r="G65" s="85">
        <v>0.6</v>
      </c>
      <c r="H65" s="84">
        <v>4.0199999999999996</v>
      </c>
      <c r="I65" s="44">
        <v>1.03</v>
      </c>
      <c r="J65" s="44">
        <f t="shared" si="1"/>
        <v>5.9624639999999998</v>
      </c>
      <c r="K65" s="86" t="s">
        <v>95</v>
      </c>
      <c r="L65" s="21">
        <v>300</v>
      </c>
      <c r="M65" s="1" t="s">
        <v>236</v>
      </c>
    </row>
    <row r="66" spans="2:13" x14ac:dyDescent="0.2">
      <c r="B66" s="83"/>
      <c r="C66" s="84" t="s">
        <v>107</v>
      </c>
      <c r="D66" s="85">
        <v>2</v>
      </c>
      <c r="E66" s="85">
        <f t="shared" si="2"/>
        <v>4</v>
      </c>
      <c r="F66" s="85">
        <v>0.3</v>
      </c>
      <c r="G66" s="85">
        <v>0.6</v>
      </c>
      <c r="H66" s="84">
        <v>4.1100000000000003</v>
      </c>
      <c r="I66" s="44">
        <v>1.03</v>
      </c>
      <c r="J66" s="44">
        <f t="shared" si="1"/>
        <v>6.0959520000000005</v>
      </c>
      <c r="K66" s="86" t="s">
        <v>95</v>
      </c>
      <c r="L66" s="21">
        <v>300</v>
      </c>
      <c r="M66" s="1" t="s">
        <v>236</v>
      </c>
    </row>
    <row r="67" spans="2:13" x14ac:dyDescent="0.2">
      <c r="B67" s="83"/>
      <c r="C67" s="84" t="s">
        <v>108</v>
      </c>
      <c r="D67" s="85">
        <v>2</v>
      </c>
      <c r="E67" s="85">
        <f t="shared" si="2"/>
        <v>4</v>
      </c>
      <c r="F67" s="85">
        <v>0.3</v>
      </c>
      <c r="G67" s="85">
        <v>0.6</v>
      </c>
      <c r="H67" s="84">
        <v>6.5</v>
      </c>
      <c r="I67" s="44">
        <v>1.03</v>
      </c>
      <c r="J67" s="44">
        <f t="shared" si="1"/>
        <v>9.6408000000000005</v>
      </c>
      <c r="K67" s="86" t="s">
        <v>95</v>
      </c>
      <c r="L67" s="21">
        <v>300</v>
      </c>
      <c r="M67" s="1" t="s">
        <v>236</v>
      </c>
    </row>
    <row r="68" spans="2:13" x14ac:dyDescent="0.2">
      <c r="B68" s="83" t="s">
        <v>111</v>
      </c>
      <c r="C68" s="84" t="s">
        <v>105</v>
      </c>
      <c r="D68" s="85"/>
      <c r="E68" s="85"/>
      <c r="F68" s="85"/>
      <c r="G68" s="85"/>
      <c r="H68" s="84"/>
      <c r="I68" s="44"/>
      <c r="J68" s="44"/>
      <c r="K68" s="86"/>
      <c r="L68" s="21"/>
      <c r="M68" s="1" t="s">
        <v>236</v>
      </c>
    </row>
    <row r="69" spans="2:13" x14ac:dyDescent="0.2">
      <c r="B69" s="83"/>
      <c r="C69" s="84" t="s">
        <v>112</v>
      </c>
      <c r="D69" s="85">
        <v>2</v>
      </c>
      <c r="E69" s="85">
        <v>2</v>
      </c>
      <c r="F69" s="85">
        <v>0.25</v>
      </c>
      <c r="G69" s="85">
        <v>0.5</v>
      </c>
      <c r="H69" s="84">
        <v>1.5</v>
      </c>
      <c r="I69" s="44">
        <v>1.03</v>
      </c>
      <c r="J69" s="44">
        <f t="shared" si="1"/>
        <v>0.77249999999999996</v>
      </c>
      <c r="K69" s="86" t="s">
        <v>95</v>
      </c>
      <c r="L69" s="21">
        <v>300</v>
      </c>
      <c r="M69" s="1" t="s">
        <v>236</v>
      </c>
    </row>
    <row r="70" spans="2:13" x14ac:dyDescent="0.2">
      <c r="B70" s="83"/>
      <c r="C70" s="84" t="s">
        <v>113</v>
      </c>
      <c r="D70" s="85">
        <v>2</v>
      </c>
      <c r="E70" s="85">
        <v>2</v>
      </c>
      <c r="F70" s="85">
        <v>0.25</v>
      </c>
      <c r="G70" s="85">
        <v>0.5</v>
      </c>
      <c r="H70" s="84">
        <v>1.5</v>
      </c>
      <c r="I70" s="44">
        <v>1.03</v>
      </c>
      <c r="J70" s="44">
        <f t="shared" si="1"/>
        <v>0.77249999999999996</v>
      </c>
      <c r="K70" s="86" t="s">
        <v>95</v>
      </c>
      <c r="L70" s="21">
        <v>300</v>
      </c>
      <c r="M70" s="1" t="s">
        <v>236</v>
      </c>
    </row>
    <row r="71" spans="2:13" ht="13.15" customHeight="1" x14ac:dyDescent="0.2">
      <c r="B71" s="83"/>
      <c r="C71" s="84" t="s">
        <v>114</v>
      </c>
      <c r="D71" s="85">
        <v>2</v>
      </c>
      <c r="E71" s="85">
        <v>2</v>
      </c>
      <c r="F71" s="85">
        <v>0.25</v>
      </c>
      <c r="G71" s="85">
        <v>0.5</v>
      </c>
      <c r="H71" s="84">
        <v>1.5</v>
      </c>
      <c r="I71" s="44">
        <v>1.03</v>
      </c>
      <c r="J71" s="44">
        <f t="shared" si="1"/>
        <v>0.77249999999999996</v>
      </c>
      <c r="K71" s="86" t="s">
        <v>95</v>
      </c>
      <c r="L71" s="21">
        <v>300</v>
      </c>
      <c r="M71" s="1" t="s">
        <v>236</v>
      </c>
    </row>
    <row r="72" spans="2:13" ht="13.15" customHeight="1" x14ac:dyDescent="0.2">
      <c r="B72" s="83"/>
      <c r="C72" s="84" t="s">
        <v>115</v>
      </c>
      <c r="D72" s="85">
        <v>2</v>
      </c>
      <c r="E72" s="85">
        <v>2</v>
      </c>
      <c r="F72" s="85">
        <v>0.25</v>
      </c>
      <c r="G72" s="85">
        <v>0.5</v>
      </c>
      <c r="H72" s="84">
        <v>1.5</v>
      </c>
      <c r="I72" s="44">
        <v>1.03</v>
      </c>
      <c r="J72" s="44">
        <f t="shared" si="1"/>
        <v>0.77249999999999996</v>
      </c>
      <c r="K72" s="86" t="s">
        <v>95</v>
      </c>
      <c r="L72" s="21">
        <v>300</v>
      </c>
      <c r="M72" s="1" t="s">
        <v>236</v>
      </c>
    </row>
    <row r="73" spans="2:13" ht="13.15" customHeight="1" x14ac:dyDescent="0.2">
      <c r="B73" s="83"/>
      <c r="C73" s="84" t="s">
        <v>116</v>
      </c>
      <c r="D73" s="85">
        <v>1</v>
      </c>
      <c r="E73" s="85">
        <v>2</v>
      </c>
      <c r="F73" s="85">
        <v>0.25</v>
      </c>
      <c r="G73" s="85">
        <v>0.5</v>
      </c>
      <c r="H73" s="84">
        <f>4.21+4.34</f>
        <v>8.5500000000000007</v>
      </c>
      <c r="I73" s="44">
        <v>1.03</v>
      </c>
      <c r="J73" s="44">
        <f t="shared" si="1"/>
        <v>2.2016250000000004</v>
      </c>
      <c r="K73" s="86" t="s">
        <v>95</v>
      </c>
      <c r="L73" s="21">
        <v>300</v>
      </c>
      <c r="M73" s="1" t="s">
        <v>236</v>
      </c>
    </row>
    <row r="74" spans="2:13" x14ac:dyDescent="0.2">
      <c r="B74" s="83"/>
      <c r="C74" s="84" t="s">
        <v>117</v>
      </c>
      <c r="D74" s="85">
        <v>1</v>
      </c>
      <c r="E74" s="85">
        <v>2</v>
      </c>
      <c r="F74" s="85">
        <v>0.25</v>
      </c>
      <c r="G74" s="85">
        <v>0.5</v>
      </c>
      <c r="H74" s="84">
        <f>4.21+4.34</f>
        <v>8.5500000000000007</v>
      </c>
      <c r="I74" s="44">
        <v>1.03</v>
      </c>
      <c r="J74" s="44">
        <f t="shared" si="1"/>
        <v>2.2016250000000004</v>
      </c>
      <c r="K74" s="86" t="s">
        <v>95</v>
      </c>
      <c r="L74" s="21">
        <v>300</v>
      </c>
      <c r="M74" s="1" t="s">
        <v>236</v>
      </c>
    </row>
    <row r="75" spans="2:13" x14ac:dyDescent="0.2">
      <c r="B75" s="83" t="s">
        <v>159</v>
      </c>
      <c r="C75" s="84" t="s">
        <v>154</v>
      </c>
      <c r="D75" s="85"/>
      <c r="E75" s="85"/>
      <c r="F75" s="85"/>
      <c r="G75" s="85"/>
      <c r="H75" s="84"/>
      <c r="I75" s="84"/>
      <c r="J75" s="84"/>
      <c r="K75" s="86"/>
      <c r="L75" s="21"/>
    </row>
    <row r="76" spans="2:13" x14ac:dyDescent="0.2">
      <c r="B76" s="83" t="s">
        <v>157</v>
      </c>
      <c r="C76" s="84" t="s">
        <v>155</v>
      </c>
      <c r="D76" s="85">
        <v>1</v>
      </c>
      <c r="E76" s="85">
        <v>1</v>
      </c>
      <c r="F76" s="85">
        <f>3.66+3.8+4.04+4</f>
        <v>15.5</v>
      </c>
      <c r="G76" s="85">
        <v>1.5</v>
      </c>
      <c r="H76" s="85">
        <f>0.15</f>
        <v>0.15</v>
      </c>
      <c r="I76" s="44">
        <v>1.03</v>
      </c>
      <c r="J76" s="44">
        <f t="shared" ref="J76:J78" si="3">+D76*E76*F76*G76*H76*I76</f>
        <v>3.5921249999999998</v>
      </c>
      <c r="K76" s="45" t="s">
        <v>95</v>
      </c>
      <c r="L76" s="21">
        <v>100</v>
      </c>
      <c r="M76" s="1" t="s">
        <v>236</v>
      </c>
    </row>
    <row r="77" spans="2:13" s="21" customFormat="1" x14ac:dyDescent="0.2">
      <c r="B77" s="83" t="s">
        <v>158</v>
      </c>
      <c r="C77" s="44" t="s">
        <v>224</v>
      </c>
      <c r="D77" s="186">
        <v>4</v>
      </c>
      <c r="E77" s="186">
        <v>10</v>
      </c>
      <c r="F77" s="186">
        <v>1.8</v>
      </c>
      <c r="G77" s="186">
        <v>1.8</v>
      </c>
      <c r="H77" s="44">
        <v>0.3</v>
      </c>
      <c r="I77" s="44">
        <v>1.03</v>
      </c>
      <c r="J77" s="44">
        <f>+D77*E77*F77*G77*H77*I77</f>
        <v>40.046399999999998</v>
      </c>
      <c r="K77" s="45" t="s">
        <v>95</v>
      </c>
      <c r="L77" s="21">
        <v>450</v>
      </c>
      <c r="M77" s="1" t="s">
        <v>236</v>
      </c>
    </row>
    <row r="78" spans="2:13" x14ac:dyDescent="0.2">
      <c r="B78" s="83" t="s">
        <v>227</v>
      </c>
      <c r="C78" s="84" t="s">
        <v>228</v>
      </c>
      <c r="D78" s="85">
        <v>1</v>
      </c>
      <c r="E78" s="85">
        <v>1</v>
      </c>
      <c r="F78" s="85">
        <f>3.66+3.8+4.04+4+4.02+4.11+6.5</f>
        <v>30.13</v>
      </c>
      <c r="G78" s="85">
        <f>4.21+4.34+(1.5*2)</f>
        <v>11.55</v>
      </c>
      <c r="H78" s="84">
        <v>0.2</v>
      </c>
      <c r="I78" s="44">
        <v>1.03</v>
      </c>
      <c r="J78" s="44">
        <f t="shared" si="3"/>
        <v>71.688309000000004</v>
      </c>
      <c r="K78" s="45" t="s">
        <v>95</v>
      </c>
      <c r="L78" s="21">
        <v>450</v>
      </c>
      <c r="M78" s="1" t="s">
        <v>236</v>
      </c>
    </row>
    <row r="79" spans="2:13" ht="15" thickBot="1" x14ac:dyDescent="0.25">
      <c r="B79" s="46"/>
      <c r="C79" s="47"/>
      <c r="D79" s="48"/>
      <c r="E79" s="48"/>
      <c r="F79" s="48"/>
      <c r="G79" s="48"/>
      <c r="H79" s="47"/>
      <c r="I79" s="47"/>
      <c r="J79" s="47"/>
      <c r="K79" s="49"/>
    </row>
    <row r="82" spans="9:11" x14ac:dyDescent="0.2">
      <c r="I82" s="1">
        <f>+BOQ!K166</f>
        <v>0</v>
      </c>
      <c r="J82" s="1" t="s">
        <v>84</v>
      </c>
      <c r="K82" s="1" t="s">
        <v>237</v>
      </c>
    </row>
    <row r="83" spans="9:11" x14ac:dyDescent="0.2">
      <c r="I83" s="21">
        <f>+I82*85</f>
        <v>0</v>
      </c>
      <c r="K83" s="1" t="s">
        <v>238</v>
      </c>
    </row>
    <row r="84" spans="9:11" x14ac:dyDescent="0.2">
      <c r="I84" s="21">
        <f>+I83*70</f>
        <v>0</v>
      </c>
    </row>
  </sheetData>
  <mergeCells count="34">
    <mergeCell ref="B43:D43"/>
    <mergeCell ref="B30:C30"/>
    <mergeCell ref="B24:F24"/>
    <mergeCell ref="B25:G25"/>
    <mergeCell ref="B49:F49"/>
    <mergeCell ref="B31:C31"/>
    <mergeCell ref="B40:F40"/>
    <mergeCell ref="B41:F41"/>
    <mergeCell ref="B32:F32"/>
    <mergeCell ref="B33:G33"/>
    <mergeCell ref="B50:F50"/>
    <mergeCell ref="B22:C22"/>
    <mergeCell ref="B27:C27"/>
    <mergeCell ref="B28:C28"/>
    <mergeCell ref="B29:C29"/>
    <mergeCell ref="B26:C26"/>
    <mergeCell ref="B42:F42"/>
    <mergeCell ref="B38:C38"/>
    <mergeCell ref="B34:C34"/>
    <mergeCell ref="B35:C35"/>
    <mergeCell ref="B36:C36"/>
    <mergeCell ref="B37:C37"/>
    <mergeCell ref="B39:C39"/>
    <mergeCell ref="B47:F47"/>
    <mergeCell ref="B45:C45"/>
    <mergeCell ref="B46:C46"/>
    <mergeCell ref="B15:G15"/>
    <mergeCell ref="B23:C23"/>
    <mergeCell ref="B16:C16"/>
    <mergeCell ref="B17:C17"/>
    <mergeCell ref="B18:C18"/>
    <mergeCell ref="B19:C19"/>
    <mergeCell ref="B20:C20"/>
    <mergeCell ref="B21:C21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7"/>
  <sheetViews>
    <sheetView topLeftCell="A45" workbookViewId="0">
      <selection activeCell="I44" sqref="I44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5" style="2" customWidth="1"/>
    <col min="8" max="8" width="17" style="1" customWidth="1"/>
    <col min="9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+BOQ!B43</f>
        <v>0</v>
      </c>
    </row>
    <row r="7" spans="2:11" ht="15" x14ac:dyDescent="0.25">
      <c r="B7" s="7" t="s">
        <v>48</v>
      </c>
      <c r="C7" s="19" t="str">
        <f>+BOQ!C43</f>
        <v>Concrete Works</v>
      </c>
    </row>
    <row r="8" spans="2:11" ht="15" x14ac:dyDescent="0.25">
      <c r="B8" s="7" t="s">
        <v>47</v>
      </c>
      <c r="C8" s="19">
        <f>+BOQ!B45</f>
        <v>0</v>
      </c>
    </row>
    <row r="9" spans="2:11" ht="15" x14ac:dyDescent="0.25">
      <c r="B9" s="7" t="s">
        <v>49</v>
      </c>
      <c r="C9" s="19" t="str">
        <f>+BOQ!C45</f>
        <v>Cast-in-place Concrete (3000 psi) for Footing, Columns &amp; Beams</v>
      </c>
    </row>
    <row r="10" spans="2:11" x14ac:dyDescent="0.2">
      <c r="B10" s="7"/>
    </row>
    <row r="11" spans="2:11" x14ac:dyDescent="0.2">
      <c r="B11" s="21" t="s">
        <v>45</v>
      </c>
      <c r="C11" s="76">
        <f>+J56</f>
        <v>187.64622399999999</v>
      </c>
      <c r="D11" s="21" t="s">
        <v>44</v>
      </c>
      <c r="E11" s="77" t="str">
        <f>+K56</f>
        <v>cu.m.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26" t="s">
        <v>4</v>
      </c>
      <c r="E16" s="26" t="s">
        <v>5</v>
      </c>
      <c r="F16" s="2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 t="s">
        <v>119</v>
      </c>
      <c r="C17" s="244"/>
      <c r="D17" s="29">
        <f>+C11*12</f>
        <v>2251.754688</v>
      </c>
      <c r="E17" s="29" t="s">
        <v>118</v>
      </c>
      <c r="F17" s="29">
        <v>290</v>
      </c>
      <c r="G17" s="30">
        <f>+D17*F17</f>
        <v>653008.85951999994</v>
      </c>
      <c r="H17" s="21"/>
      <c r="I17" s="21"/>
      <c r="J17" s="21"/>
      <c r="K17" s="21"/>
    </row>
    <row r="18" spans="2:11" x14ac:dyDescent="0.2">
      <c r="B18" s="243" t="s">
        <v>99</v>
      </c>
      <c r="C18" s="244"/>
      <c r="D18" s="29">
        <f>+ROUNDUP(C11*0.5,0)</f>
        <v>94</v>
      </c>
      <c r="E18" s="29" t="s">
        <v>95</v>
      </c>
      <c r="F18" s="29">
        <v>2100</v>
      </c>
      <c r="G18" s="30">
        <f>+D18*F18</f>
        <v>197400</v>
      </c>
      <c r="H18" s="21"/>
      <c r="I18" s="21"/>
      <c r="J18" s="21"/>
      <c r="K18" s="21"/>
    </row>
    <row r="19" spans="2:11" x14ac:dyDescent="0.2">
      <c r="B19" s="243" t="s">
        <v>100</v>
      </c>
      <c r="C19" s="244"/>
      <c r="D19" s="29">
        <f>+ROUNDUP(C11,0)</f>
        <v>188</v>
      </c>
      <c r="E19" s="29" t="s">
        <v>95</v>
      </c>
      <c r="F19" s="29">
        <v>2100</v>
      </c>
      <c r="G19" s="30">
        <f>+D19*F19</f>
        <v>394800</v>
      </c>
      <c r="H19" s="21"/>
      <c r="I19" s="21"/>
      <c r="J19" s="21"/>
      <c r="K19" s="21"/>
    </row>
    <row r="20" spans="2:11" x14ac:dyDescent="0.2">
      <c r="B20" s="264" t="s">
        <v>101</v>
      </c>
      <c r="C20" s="265"/>
      <c r="D20" s="29">
        <f>+C11*0.25</f>
        <v>46.911555999999997</v>
      </c>
      <c r="E20" s="29" t="s">
        <v>95</v>
      </c>
      <c r="F20" s="29">
        <v>0</v>
      </c>
      <c r="G20" s="30">
        <f>+D20*F20</f>
        <v>0</v>
      </c>
      <c r="H20" s="21"/>
      <c r="I20" s="21"/>
      <c r="J20" s="21"/>
      <c r="K20" s="21"/>
    </row>
    <row r="21" spans="2:11" x14ac:dyDescent="0.2">
      <c r="B21" s="264" t="s">
        <v>96</v>
      </c>
      <c r="C21" s="265"/>
      <c r="D21" s="29">
        <v>1</v>
      </c>
      <c r="E21" s="29" t="s">
        <v>97</v>
      </c>
      <c r="F21" s="29">
        <v>10000</v>
      </c>
      <c r="G21" s="30">
        <f>+D21*F21</f>
        <v>10000</v>
      </c>
      <c r="H21" s="21"/>
      <c r="I21" s="21"/>
      <c r="J21" s="21"/>
      <c r="K21" s="21"/>
    </row>
    <row r="22" spans="2:11" x14ac:dyDescent="0.2">
      <c r="B22" s="243"/>
      <c r="C22" s="244"/>
      <c r="D22" s="29"/>
      <c r="E22" s="29"/>
      <c r="F22" s="29"/>
      <c r="G22" s="30"/>
      <c r="H22" s="21"/>
      <c r="I22" s="21"/>
      <c r="J22" s="21"/>
      <c r="K22" s="21"/>
    </row>
    <row r="23" spans="2:11" ht="15" thickBot="1" x14ac:dyDescent="0.25">
      <c r="B23" s="258" t="s">
        <v>51</v>
      </c>
      <c r="C23" s="259"/>
      <c r="D23" s="259"/>
      <c r="E23" s="259"/>
      <c r="F23" s="259"/>
      <c r="G23" s="67">
        <f>+SUM(G17:G22)</f>
        <v>1255208.8595199999</v>
      </c>
      <c r="H23" s="21"/>
      <c r="I23" s="21"/>
      <c r="J23" s="21"/>
      <c r="K23" s="21"/>
    </row>
    <row r="24" spans="2:11" ht="15" thickBot="1" x14ac:dyDescent="0.25">
      <c r="B24" s="255" t="s">
        <v>75</v>
      </c>
      <c r="C24" s="256"/>
      <c r="D24" s="256"/>
      <c r="E24" s="256"/>
      <c r="F24" s="256"/>
      <c r="G24" s="257"/>
      <c r="H24" s="21"/>
      <c r="I24" s="21"/>
      <c r="J24" s="21"/>
      <c r="K24" s="21"/>
    </row>
    <row r="25" spans="2:11" ht="15" x14ac:dyDescent="0.2">
      <c r="B25" s="266" t="s">
        <v>2</v>
      </c>
      <c r="C25" s="267"/>
      <c r="D25" s="50" t="s">
        <v>3</v>
      </c>
      <c r="E25" s="50" t="s">
        <v>68</v>
      </c>
      <c r="F25" s="50" t="s">
        <v>69</v>
      </c>
      <c r="G25" s="51" t="s">
        <v>7</v>
      </c>
      <c r="H25" s="33"/>
      <c r="I25" s="33"/>
      <c r="J25" s="33"/>
      <c r="K25" s="33"/>
    </row>
    <row r="26" spans="2:11" x14ac:dyDescent="0.2">
      <c r="B26" s="264" t="s">
        <v>71</v>
      </c>
      <c r="C26" s="265"/>
      <c r="D26" s="29">
        <v>2</v>
      </c>
      <c r="E26" s="29">
        <v>2000</v>
      </c>
      <c r="F26" s="29">
        <v>18.427800000000001</v>
      </c>
      <c r="G26" s="30">
        <f>+D26*E26*F26</f>
        <v>73711.200000000012</v>
      </c>
      <c r="H26" s="21">
        <f>+G49-H49</f>
        <v>2.4212285770772723E-3</v>
      </c>
      <c r="I26" s="21"/>
      <c r="J26" s="21"/>
      <c r="K26" s="21"/>
    </row>
    <row r="27" spans="2:11" x14ac:dyDescent="0.2">
      <c r="B27" s="264" t="s">
        <v>120</v>
      </c>
      <c r="C27" s="265"/>
      <c r="D27" s="29">
        <v>2</v>
      </c>
      <c r="E27" s="29">
        <v>1500</v>
      </c>
      <c r="F27" s="29">
        <v>35</v>
      </c>
      <c r="G27" s="30">
        <f>+D27*E27*F27</f>
        <v>105000</v>
      </c>
      <c r="H27" s="21"/>
      <c r="I27" s="21"/>
      <c r="J27" s="21"/>
      <c r="K27" s="21"/>
    </row>
    <row r="28" spans="2:11" x14ac:dyDescent="0.2">
      <c r="B28" s="264" t="s">
        <v>121</v>
      </c>
      <c r="C28" s="265"/>
      <c r="D28" s="29">
        <v>2</v>
      </c>
      <c r="E28" s="29">
        <v>500</v>
      </c>
      <c r="F28" s="29">
        <f>+F27</f>
        <v>35</v>
      </c>
      <c r="G28" s="30">
        <f>+D28*E28*F28</f>
        <v>35000</v>
      </c>
      <c r="H28" s="21"/>
      <c r="I28" s="21"/>
      <c r="J28" s="21"/>
      <c r="K28" s="21"/>
    </row>
    <row r="29" spans="2:11" x14ac:dyDescent="0.2">
      <c r="B29" s="243" t="s">
        <v>89</v>
      </c>
      <c r="C29" s="244"/>
      <c r="D29" s="29">
        <v>2</v>
      </c>
      <c r="E29" s="29">
        <v>200</v>
      </c>
      <c r="F29" s="29">
        <f>+F27</f>
        <v>35</v>
      </c>
      <c r="G29" s="30">
        <f>+D29*E29*F29</f>
        <v>14000</v>
      </c>
      <c r="H29" s="21"/>
      <c r="I29" s="21"/>
      <c r="J29" s="21"/>
      <c r="K29" s="21"/>
    </row>
    <row r="30" spans="2:11" x14ac:dyDescent="0.2">
      <c r="B30" s="243"/>
      <c r="C30" s="244"/>
      <c r="D30" s="29"/>
      <c r="E30" s="29"/>
      <c r="F30" s="29"/>
      <c r="G30" s="30"/>
      <c r="H30" s="21"/>
      <c r="I30" s="21"/>
      <c r="J30" s="21"/>
      <c r="K30" s="21"/>
    </row>
    <row r="31" spans="2:11" ht="15" thickBot="1" x14ac:dyDescent="0.25">
      <c r="B31" s="253" t="s">
        <v>52</v>
      </c>
      <c r="C31" s="254"/>
      <c r="D31" s="254"/>
      <c r="E31" s="254"/>
      <c r="F31" s="254"/>
      <c r="G31" s="68">
        <f>+SUM(G26:G30)</f>
        <v>227711.2</v>
      </c>
      <c r="H31" s="21"/>
      <c r="I31" s="21"/>
      <c r="J31" s="21"/>
      <c r="K31" s="21"/>
    </row>
    <row r="32" spans="2:11" ht="15" thickBot="1" x14ac:dyDescent="0.25">
      <c r="B32" s="255" t="s">
        <v>76</v>
      </c>
      <c r="C32" s="256"/>
      <c r="D32" s="256"/>
      <c r="E32" s="256"/>
      <c r="F32" s="256"/>
      <c r="G32" s="257"/>
      <c r="H32" s="21"/>
      <c r="I32" s="21"/>
      <c r="J32" s="21"/>
      <c r="K32" s="21"/>
    </row>
    <row r="33" spans="2:11" ht="15" x14ac:dyDescent="0.2">
      <c r="B33" s="241" t="s">
        <v>2</v>
      </c>
      <c r="C33" s="242"/>
      <c r="D33" s="31" t="s">
        <v>3</v>
      </c>
      <c r="E33" s="31" t="s">
        <v>68</v>
      </c>
      <c r="F33" s="31" t="s">
        <v>69</v>
      </c>
      <c r="G33" s="32" t="s">
        <v>7</v>
      </c>
      <c r="H33" s="21"/>
      <c r="I33" s="21"/>
      <c r="J33" s="21"/>
      <c r="K33" s="21"/>
    </row>
    <row r="34" spans="2:11" x14ac:dyDescent="0.2">
      <c r="B34" s="243" t="s">
        <v>72</v>
      </c>
      <c r="C34" s="244"/>
      <c r="D34" s="29">
        <v>1</v>
      </c>
      <c r="E34" s="29">
        <v>750</v>
      </c>
      <c r="F34" s="29">
        <f>+F27</f>
        <v>35</v>
      </c>
      <c r="G34" s="30">
        <f>+D34*E34*F34</f>
        <v>26250</v>
      </c>
      <c r="H34" s="21"/>
      <c r="I34" s="21"/>
      <c r="J34" s="21"/>
      <c r="K34" s="21"/>
    </row>
    <row r="35" spans="2:11" x14ac:dyDescent="0.2">
      <c r="B35" s="264" t="s">
        <v>122</v>
      </c>
      <c r="C35" s="265"/>
      <c r="D35" s="29">
        <v>6</v>
      </c>
      <c r="E35" s="29">
        <v>600</v>
      </c>
      <c r="F35" s="29">
        <f>+F34</f>
        <v>35</v>
      </c>
      <c r="G35" s="30">
        <f>+D35*E35*F35</f>
        <v>126000</v>
      </c>
      <c r="H35" s="21"/>
      <c r="I35" s="21"/>
      <c r="J35" s="21"/>
      <c r="K35" s="21"/>
    </row>
    <row r="36" spans="2:11" x14ac:dyDescent="0.2">
      <c r="B36" s="243" t="s">
        <v>73</v>
      </c>
      <c r="C36" s="244"/>
      <c r="D36" s="29">
        <v>6</v>
      </c>
      <c r="E36" s="29">
        <v>450</v>
      </c>
      <c r="F36" s="29">
        <f>+F34</f>
        <v>35</v>
      </c>
      <c r="G36" s="30">
        <f>+D36*E36*F36</f>
        <v>94500</v>
      </c>
      <c r="H36" s="21"/>
      <c r="I36" s="21"/>
      <c r="J36" s="21"/>
      <c r="K36" s="21"/>
    </row>
    <row r="37" spans="2:11" x14ac:dyDescent="0.2">
      <c r="B37" s="243"/>
      <c r="C37" s="244"/>
      <c r="D37" s="29"/>
      <c r="E37" s="29"/>
      <c r="F37" s="29"/>
      <c r="G37" s="30"/>
      <c r="H37" s="21"/>
      <c r="I37" s="21"/>
      <c r="J37" s="21"/>
      <c r="K37" s="21"/>
    </row>
    <row r="38" spans="2:11" x14ac:dyDescent="0.2">
      <c r="B38" s="243"/>
      <c r="C38" s="244"/>
      <c r="D38" s="29"/>
      <c r="E38" s="29"/>
      <c r="F38" s="29"/>
      <c r="G38" s="30"/>
      <c r="H38" s="21"/>
      <c r="I38" s="21"/>
      <c r="J38" s="21"/>
      <c r="K38" s="21"/>
    </row>
    <row r="39" spans="2:11" ht="15" thickBot="1" x14ac:dyDescent="0.25">
      <c r="B39" s="258" t="s">
        <v>53</v>
      </c>
      <c r="C39" s="259"/>
      <c r="D39" s="259"/>
      <c r="E39" s="259"/>
      <c r="F39" s="259"/>
      <c r="G39" s="67">
        <f>+SUM(G34:G38)</f>
        <v>246750</v>
      </c>
      <c r="H39" s="21"/>
      <c r="I39" s="21"/>
      <c r="J39" s="21"/>
      <c r="K39" s="21"/>
    </row>
    <row r="40" spans="2:11" ht="15.75" thickBot="1" x14ac:dyDescent="0.3">
      <c r="B40" s="239" t="s">
        <v>77</v>
      </c>
      <c r="C40" s="240"/>
      <c r="D40" s="240"/>
      <c r="E40" s="240"/>
      <c r="F40" s="240"/>
      <c r="G40" s="52">
        <f>+SUM(G23,G31,G39)</f>
        <v>1729670.0595199999</v>
      </c>
      <c r="H40" s="21"/>
      <c r="I40" s="21"/>
      <c r="J40" s="21"/>
      <c r="K40" s="21"/>
    </row>
    <row r="41" spans="2:11" x14ac:dyDescent="0.2">
      <c r="B41" s="247"/>
      <c r="C41" s="248"/>
      <c r="D41" s="248"/>
      <c r="E41" s="248"/>
      <c r="F41" s="248"/>
      <c r="G41" s="34"/>
      <c r="H41" s="21"/>
      <c r="I41" s="21"/>
      <c r="J41" s="21"/>
      <c r="K41" s="21"/>
    </row>
    <row r="42" spans="2:11" x14ac:dyDescent="0.2">
      <c r="B42" s="249" t="s">
        <v>149</v>
      </c>
      <c r="C42" s="250"/>
      <c r="D42" s="250"/>
      <c r="E42" s="137">
        <v>0.01</v>
      </c>
      <c r="F42" s="80" t="s">
        <v>80</v>
      </c>
      <c r="G42" s="34">
        <f>+G40*E42</f>
        <v>17296.7005952</v>
      </c>
      <c r="H42" s="21"/>
      <c r="I42" s="21"/>
      <c r="J42" s="21"/>
      <c r="K42" s="21"/>
    </row>
    <row r="43" spans="2:11" ht="14.65" customHeight="1" x14ac:dyDescent="0.2">
      <c r="B43" s="78" t="s">
        <v>79</v>
      </c>
      <c r="C43" s="76"/>
      <c r="D43" s="58"/>
      <c r="E43" s="139">
        <v>0.12</v>
      </c>
      <c r="F43" s="80" t="s">
        <v>80</v>
      </c>
      <c r="G43" s="81">
        <f>+G40*E43</f>
        <v>207560.40714239998</v>
      </c>
      <c r="H43" s="82"/>
      <c r="I43" s="82"/>
      <c r="J43" s="82"/>
      <c r="K43" s="82"/>
    </row>
    <row r="44" spans="2:11" x14ac:dyDescent="0.2">
      <c r="B44" s="245" t="s">
        <v>81</v>
      </c>
      <c r="C44" s="246"/>
      <c r="D44" s="56"/>
      <c r="E44" s="140">
        <v>0.08</v>
      </c>
      <c r="F44" s="71" t="s">
        <v>80</v>
      </c>
      <c r="G44" s="70">
        <f>+G40*E44</f>
        <v>138373.6047616</v>
      </c>
      <c r="H44" s="21"/>
      <c r="I44" s="21"/>
      <c r="J44" s="21"/>
      <c r="K44" s="21"/>
    </row>
    <row r="45" spans="2:11" ht="15" thickBot="1" x14ac:dyDescent="0.25">
      <c r="B45" s="251" t="s">
        <v>78</v>
      </c>
      <c r="C45" s="252"/>
      <c r="D45" s="57"/>
      <c r="E45" s="141">
        <v>0.05</v>
      </c>
      <c r="F45" s="72" t="s">
        <v>82</v>
      </c>
      <c r="G45" s="70">
        <f>+E45*(G40+G43+G44)</f>
        <v>103780.20357120001</v>
      </c>
      <c r="H45" s="21"/>
      <c r="I45" s="21"/>
      <c r="J45" s="21"/>
      <c r="K45" s="21"/>
    </row>
    <row r="46" spans="2:11" ht="15.75" thickBot="1" x14ac:dyDescent="0.3">
      <c r="B46" s="239" t="s">
        <v>55</v>
      </c>
      <c r="C46" s="240"/>
      <c r="D46" s="240"/>
      <c r="E46" s="240"/>
      <c r="F46" s="240"/>
      <c r="G46" s="38">
        <f>+SUM(G42:G45)</f>
        <v>467010.91607040004</v>
      </c>
      <c r="H46" s="21"/>
      <c r="I46" s="21"/>
      <c r="J46" s="21"/>
      <c r="K46" s="21"/>
    </row>
    <row r="47" spans="2:11" ht="15.75" thickBot="1" x14ac:dyDescent="0.3">
      <c r="B47" s="53"/>
      <c r="C47" s="54"/>
      <c r="D47" s="54"/>
      <c r="E47" s="54"/>
      <c r="F47" s="55"/>
      <c r="G47" s="35"/>
      <c r="H47" s="21"/>
      <c r="I47" s="21"/>
      <c r="J47" s="21"/>
      <c r="K47" s="21"/>
    </row>
    <row r="48" spans="2:11" ht="15.75" thickBot="1" x14ac:dyDescent="0.3">
      <c r="B48" s="236" t="s">
        <v>57</v>
      </c>
      <c r="C48" s="237"/>
      <c r="D48" s="237"/>
      <c r="E48" s="237"/>
      <c r="F48" s="238"/>
      <c r="G48" s="38">
        <f>+SUM(G40,G46)</f>
        <v>2196680.9755903999</v>
      </c>
      <c r="H48" s="21"/>
      <c r="I48" s="21"/>
      <c r="J48" s="21"/>
      <c r="K48" s="21"/>
    </row>
    <row r="49" spans="2:11" ht="15.75" thickBot="1" x14ac:dyDescent="0.3">
      <c r="B49" s="239" t="s">
        <v>56</v>
      </c>
      <c r="C49" s="240"/>
      <c r="D49" s="240"/>
      <c r="E49" s="240"/>
      <c r="F49" s="240"/>
      <c r="G49" s="38">
        <f>+G48/C11</f>
        <v>11706.502421228577</v>
      </c>
      <c r="H49" s="21">
        <v>11706.5</v>
      </c>
      <c r="I49" s="21"/>
      <c r="J49" s="21"/>
      <c r="K49" s="21"/>
    </row>
    <row r="50" spans="2:11" x14ac:dyDescent="0.2">
      <c r="B50" s="21"/>
      <c r="C50" s="21"/>
      <c r="D50" s="22"/>
      <c r="E50" s="22"/>
      <c r="F50" s="22"/>
      <c r="G50" s="22"/>
      <c r="H50" s="21"/>
      <c r="I50" s="21"/>
      <c r="J50" s="21"/>
      <c r="K50" s="21"/>
    </row>
    <row r="51" spans="2:11" x14ac:dyDescent="0.2">
      <c r="B51" s="21"/>
      <c r="C51" s="21"/>
      <c r="D51" s="22"/>
      <c r="E51" s="22"/>
      <c r="F51" s="22"/>
      <c r="G51" s="22"/>
      <c r="H51" s="21"/>
      <c r="I51" s="21"/>
      <c r="J51" s="21"/>
      <c r="K51" s="21"/>
    </row>
    <row r="52" spans="2:11" ht="15" thickBot="1" x14ac:dyDescent="0.25">
      <c r="B52" s="24" t="s">
        <v>58</v>
      </c>
      <c r="C52" s="21"/>
      <c r="D52" s="22"/>
      <c r="E52" s="22"/>
      <c r="F52" s="22"/>
      <c r="G52" s="22"/>
      <c r="H52" s="21"/>
      <c r="I52" s="21"/>
      <c r="J52" s="21"/>
      <c r="K52" s="21"/>
    </row>
    <row r="53" spans="2:11" ht="15.75" thickBot="1" x14ac:dyDescent="0.3">
      <c r="B53" s="36" t="s">
        <v>59</v>
      </c>
      <c r="C53" s="37" t="s">
        <v>60</v>
      </c>
      <c r="D53" s="37" t="s">
        <v>61</v>
      </c>
      <c r="E53" s="37" t="s">
        <v>62</v>
      </c>
      <c r="F53" s="37" t="s">
        <v>63</v>
      </c>
      <c r="G53" s="37" t="s">
        <v>64</v>
      </c>
      <c r="H53" s="37" t="s">
        <v>156</v>
      </c>
      <c r="I53" s="37" t="s">
        <v>66</v>
      </c>
      <c r="J53" s="37" t="s">
        <v>67</v>
      </c>
      <c r="K53" s="38" t="s">
        <v>43</v>
      </c>
    </row>
    <row r="54" spans="2:11" x14ac:dyDescent="0.2">
      <c r="B54" s="40"/>
      <c r="C54" s="41"/>
      <c r="D54" s="42"/>
      <c r="E54" s="42"/>
      <c r="F54" s="42"/>
      <c r="G54" s="42"/>
      <c r="H54" s="41"/>
      <c r="I54" s="41"/>
      <c r="J54" s="41"/>
      <c r="K54" s="43"/>
    </row>
    <row r="55" spans="2:11" ht="15" x14ac:dyDescent="0.25">
      <c r="B55" s="25">
        <f>+C6</f>
        <v>0</v>
      </c>
      <c r="C55" s="75" t="str">
        <f>+C7</f>
        <v>Concrete Works</v>
      </c>
      <c r="D55" s="42"/>
      <c r="E55" s="42"/>
      <c r="F55" s="42"/>
      <c r="G55" s="42"/>
      <c r="H55" s="41"/>
      <c r="I55" s="41"/>
      <c r="J55" s="41"/>
      <c r="K55" s="43"/>
    </row>
    <row r="56" spans="2:11" ht="15" x14ac:dyDescent="0.25">
      <c r="B56" s="25">
        <f>+C8</f>
        <v>0</v>
      </c>
      <c r="C56" s="75" t="str">
        <f>+C9</f>
        <v>Cast-in-place Concrete (3000 psi) for Footing, Columns &amp; Beams</v>
      </c>
      <c r="D56" s="42"/>
      <c r="E56" s="42"/>
      <c r="F56" s="42"/>
      <c r="G56" s="42"/>
      <c r="H56" s="41"/>
      <c r="I56" s="41"/>
      <c r="J56" s="73">
        <f>+SUM(J57:J76)</f>
        <v>187.64622399999999</v>
      </c>
      <c r="K56" s="74" t="s">
        <v>95</v>
      </c>
    </row>
    <row r="57" spans="2:11" x14ac:dyDescent="0.2">
      <c r="B57" s="28" t="s">
        <v>86</v>
      </c>
      <c r="C57" s="44" t="s">
        <v>91</v>
      </c>
      <c r="D57" s="29">
        <v>8</v>
      </c>
      <c r="E57" s="29">
        <v>2</v>
      </c>
      <c r="F57" s="29">
        <v>1.8</v>
      </c>
      <c r="G57" s="29">
        <v>1.8</v>
      </c>
      <c r="H57" s="44">
        <v>0.37</v>
      </c>
      <c r="I57" s="44">
        <v>1.03</v>
      </c>
      <c r="J57" s="44">
        <f>+D57*E57*F57*G57*H57*I57</f>
        <v>19.756224000000003</v>
      </c>
      <c r="K57" s="45" t="s">
        <v>95</v>
      </c>
    </row>
    <row r="58" spans="2:11" x14ac:dyDescent="0.2">
      <c r="B58" s="83" t="s">
        <v>87</v>
      </c>
      <c r="C58" s="84" t="s">
        <v>230</v>
      </c>
      <c r="D58" s="85">
        <f>8*2</f>
        <v>16</v>
      </c>
      <c r="E58" s="85">
        <v>2</v>
      </c>
      <c r="F58" s="85">
        <v>0.3</v>
      </c>
      <c r="G58" s="85">
        <v>0.3</v>
      </c>
      <c r="H58" s="84">
        <v>3</v>
      </c>
      <c r="I58" s="44">
        <v>1.03</v>
      </c>
      <c r="J58" s="44">
        <f t="shared" ref="J58:J72" si="0">+D58*E58*F58*G58*H58*I58</f>
        <v>8.8992000000000004</v>
      </c>
      <c r="K58" s="45" t="s">
        <v>95</v>
      </c>
    </row>
    <row r="59" spans="2:11" x14ac:dyDescent="0.2">
      <c r="B59" s="83" t="s">
        <v>88</v>
      </c>
      <c r="C59" s="84" t="s">
        <v>229</v>
      </c>
      <c r="D59" s="85">
        <v>8</v>
      </c>
      <c r="E59" s="85">
        <v>3</v>
      </c>
      <c r="F59" s="85">
        <v>0.3</v>
      </c>
      <c r="G59" s="85">
        <v>0.3</v>
      </c>
      <c r="H59" s="84">
        <f>3+2</f>
        <v>5</v>
      </c>
      <c r="I59" s="44">
        <v>1.03</v>
      </c>
      <c r="J59" s="44">
        <f t="shared" ref="J59" si="1">+D59*E59*F59*G59*H59*I59</f>
        <v>11.123999999999999</v>
      </c>
      <c r="K59" s="45" t="s">
        <v>95</v>
      </c>
    </row>
    <row r="60" spans="2:11" x14ac:dyDescent="0.2">
      <c r="B60" s="83" t="s">
        <v>159</v>
      </c>
      <c r="C60" s="84" t="s">
        <v>102</v>
      </c>
      <c r="D60" s="85"/>
      <c r="E60" s="85"/>
      <c r="F60" s="85"/>
      <c r="G60" s="85"/>
      <c r="H60" s="84"/>
      <c r="I60" s="44"/>
      <c r="J60" s="44"/>
      <c r="K60" s="45"/>
    </row>
    <row r="61" spans="2:11" x14ac:dyDescent="0.2">
      <c r="B61" s="83" t="s">
        <v>110</v>
      </c>
      <c r="C61" s="84" t="s">
        <v>104</v>
      </c>
      <c r="D61" s="85"/>
      <c r="E61" s="85"/>
      <c r="F61" s="85"/>
      <c r="G61" s="85"/>
      <c r="H61" s="84"/>
      <c r="I61" s="44"/>
      <c r="J61" s="44"/>
      <c r="K61" s="86"/>
    </row>
    <row r="62" spans="2:11" x14ac:dyDescent="0.2">
      <c r="B62" s="83"/>
      <c r="C62" s="84" t="s">
        <v>109</v>
      </c>
      <c r="D62" s="85">
        <v>1</v>
      </c>
      <c r="E62" s="85">
        <f>2*2</f>
        <v>4</v>
      </c>
      <c r="F62" s="85">
        <v>0.25</v>
      </c>
      <c r="G62" s="85">
        <v>0.5</v>
      </c>
      <c r="H62" s="84">
        <v>6.5</v>
      </c>
      <c r="I62" s="44">
        <v>1.03</v>
      </c>
      <c r="J62" s="44">
        <f>+D62*E62*F62*G62*H62*I62</f>
        <v>3.3475000000000001</v>
      </c>
      <c r="K62" s="86" t="s">
        <v>95</v>
      </c>
    </row>
    <row r="63" spans="2:11" x14ac:dyDescent="0.2">
      <c r="B63" s="83"/>
      <c r="C63" s="84" t="s">
        <v>106</v>
      </c>
      <c r="D63" s="85">
        <v>2</v>
      </c>
      <c r="E63" s="85">
        <f t="shared" ref="E63:E65" si="2">2*2</f>
        <v>4</v>
      </c>
      <c r="F63" s="85">
        <v>0.3</v>
      </c>
      <c r="G63" s="85">
        <v>0.6</v>
      </c>
      <c r="H63" s="84">
        <v>4.0199999999999996</v>
      </c>
      <c r="I63" s="44">
        <v>1.03</v>
      </c>
      <c r="J63" s="44">
        <f t="shared" si="0"/>
        <v>5.9624639999999998</v>
      </c>
      <c r="K63" s="86" t="s">
        <v>95</v>
      </c>
    </row>
    <row r="64" spans="2:11" x14ac:dyDescent="0.2">
      <c r="B64" s="83"/>
      <c r="C64" s="84" t="s">
        <v>107</v>
      </c>
      <c r="D64" s="85">
        <v>2</v>
      </c>
      <c r="E64" s="85">
        <f t="shared" si="2"/>
        <v>4</v>
      </c>
      <c r="F64" s="85">
        <v>0.3</v>
      </c>
      <c r="G64" s="85">
        <v>0.6</v>
      </c>
      <c r="H64" s="84">
        <v>4.1100000000000003</v>
      </c>
      <c r="I64" s="44">
        <v>1.03</v>
      </c>
      <c r="J64" s="44">
        <f t="shared" si="0"/>
        <v>6.0959520000000005</v>
      </c>
      <c r="K64" s="86" t="s">
        <v>95</v>
      </c>
    </row>
    <row r="65" spans="2:11" x14ac:dyDescent="0.2">
      <c r="B65" s="83"/>
      <c r="C65" s="84" t="s">
        <v>108</v>
      </c>
      <c r="D65" s="85">
        <v>2</v>
      </c>
      <c r="E65" s="85">
        <f t="shared" si="2"/>
        <v>4</v>
      </c>
      <c r="F65" s="85">
        <v>0.3</v>
      </c>
      <c r="G65" s="85">
        <v>0.6</v>
      </c>
      <c r="H65" s="84">
        <v>6.5</v>
      </c>
      <c r="I65" s="44">
        <v>1.03</v>
      </c>
      <c r="J65" s="44">
        <f t="shared" si="0"/>
        <v>9.6408000000000005</v>
      </c>
      <c r="K65" s="86" t="s">
        <v>95</v>
      </c>
    </row>
    <row r="66" spans="2:11" x14ac:dyDescent="0.2">
      <c r="B66" s="83" t="s">
        <v>111</v>
      </c>
      <c r="C66" s="84" t="s">
        <v>105</v>
      </c>
      <c r="D66" s="85"/>
      <c r="E66" s="85"/>
      <c r="F66" s="85"/>
      <c r="G66" s="85"/>
      <c r="H66" s="84"/>
      <c r="I66" s="44"/>
      <c r="J66" s="44"/>
      <c r="K66" s="86"/>
    </row>
    <row r="67" spans="2:11" x14ac:dyDescent="0.2">
      <c r="B67" s="83"/>
      <c r="C67" s="84" t="s">
        <v>112</v>
      </c>
      <c r="D67" s="85">
        <v>2</v>
      </c>
      <c r="E67" s="85">
        <f>1*2</f>
        <v>2</v>
      </c>
      <c r="F67" s="85">
        <v>0.25</v>
      </c>
      <c r="G67" s="85">
        <v>0.5</v>
      </c>
      <c r="H67" s="84">
        <v>1.5</v>
      </c>
      <c r="I67" s="44">
        <v>1.03</v>
      </c>
      <c r="J67" s="44">
        <f t="shared" si="0"/>
        <v>0.77249999999999996</v>
      </c>
      <c r="K67" s="86" t="s">
        <v>95</v>
      </c>
    </row>
    <row r="68" spans="2:11" x14ac:dyDescent="0.2">
      <c r="B68" s="83"/>
      <c r="C68" s="84" t="s">
        <v>113</v>
      </c>
      <c r="D68" s="85">
        <v>2</v>
      </c>
      <c r="E68" s="85">
        <f t="shared" ref="E68:E72" si="3">1*2</f>
        <v>2</v>
      </c>
      <c r="F68" s="85">
        <v>0.25</v>
      </c>
      <c r="G68" s="85">
        <v>0.5</v>
      </c>
      <c r="H68" s="84">
        <v>1.5</v>
      </c>
      <c r="I68" s="44">
        <v>1.03</v>
      </c>
      <c r="J68" s="44">
        <f t="shared" si="0"/>
        <v>0.77249999999999996</v>
      </c>
      <c r="K68" s="86" t="s">
        <v>95</v>
      </c>
    </row>
    <row r="69" spans="2:11" ht="13.15" customHeight="1" x14ac:dyDescent="0.2">
      <c r="B69" s="83"/>
      <c r="C69" s="84" t="s">
        <v>114</v>
      </c>
      <c r="D69" s="85">
        <v>2</v>
      </c>
      <c r="E69" s="85">
        <f t="shared" si="3"/>
        <v>2</v>
      </c>
      <c r="F69" s="85">
        <v>0.25</v>
      </c>
      <c r="G69" s="85">
        <v>0.5</v>
      </c>
      <c r="H69" s="84">
        <v>1.5</v>
      </c>
      <c r="I69" s="44">
        <v>1.03</v>
      </c>
      <c r="J69" s="44">
        <f t="shared" si="0"/>
        <v>0.77249999999999996</v>
      </c>
      <c r="K69" s="86" t="s">
        <v>95</v>
      </c>
    </row>
    <row r="70" spans="2:11" ht="13.15" customHeight="1" x14ac:dyDescent="0.2">
      <c r="B70" s="83"/>
      <c r="C70" s="84" t="s">
        <v>115</v>
      </c>
      <c r="D70" s="85">
        <v>2</v>
      </c>
      <c r="E70" s="85">
        <f t="shared" si="3"/>
        <v>2</v>
      </c>
      <c r="F70" s="85">
        <v>0.25</v>
      </c>
      <c r="G70" s="85">
        <v>0.5</v>
      </c>
      <c r="H70" s="84">
        <v>1.5</v>
      </c>
      <c r="I70" s="44">
        <v>1.03</v>
      </c>
      <c r="J70" s="44">
        <f t="shared" si="0"/>
        <v>0.77249999999999996</v>
      </c>
      <c r="K70" s="86" t="s">
        <v>95</v>
      </c>
    </row>
    <row r="71" spans="2:11" ht="13.15" customHeight="1" x14ac:dyDescent="0.2">
      <c r="B71" s="83"/>
      <c r="C71" s="84" t="s">
        <v>116</v>
      </c>
      <c r="D71" s="85">
        <v>1</v>
      </c>
      <c r="E71" s="85">
        <f t="shared" si="3"/>
        <v>2</v>
      </c>
      <c r="F71" s="85">
        <v>0.25</v>
      </c>
      <c r="G71" s="85">
        <v>0.5</v>
      </c>
      <c r="H71" s="84">
        <f>4.21+4.34</f>
        <v>8.5500000000000007</v>
      </c>
      <c r="I71" s="44">
        <v>1.03</v>
      </c>
      <c r="J71" s="44">
        <f t="shared" si="0"/>
        <v>2.2016250000000004</v>
      </c>
      <c r="K71" s="86" t="s">
        <v>95</v>
      </c>
    </row>
    <row r="72" spans="2:11" x14ac:dyDescent="0.2">
      <c r="B72" s="83"/>
      <c r="C72" s="84" t="s">
        <v>117</v>
      </c>
      <c r="D72" s="85">
        <v>1</v>
      </c>
      <c r="E72" s="85">
        <f t="shared" si="3"/>
        <v>2</v>
      </c>
      <c r="F72" s="85">
        <v>0.25</v>
      </c>
      <c r="G72" s="85">
        <v>0.5</v>
      </c>
      <c r="H72" s="84">
        <f>4.21+4.34</f>
        <v>8.5500000000000007</v>
      </c>
      <c r="I72" s="44">
        <v>1.03</v>
      </c>
      <c r="J72" s="44">
        <f t="shared" si="0"/>
        <v>2.2016250000000004</v>
      </c>
      <c r="K72" s="86" t="s">
        <v>95</v>
      </c>
    </row>
    <row r="73" spans="2:11" x14ac:dyDescent="0.2">
      <c r="B73" s="83" t="s">
        <v>159</v>
      </c>
      <c r="C73" s="84" t="s">
        <v>154</v>
      </c>
      <c r="D73" s="85"/>
      <c r="E73" s="85"/>
      <c r="F73" s="85"/>
      <c r="G73" s="85"/>
      <c r="H73" s="84"/>
      <c r="I73" s="84"/>
      <c r="J73" s="84"/>
      <c r="K73" s="86"/>
    </row>
    <row r="74" spans="2:11" x14ac:dyDescent="0.2">
      <c r="B74" s="83" t="s">
        <v>157</v>
      </c>
      <c r="C74" s="84" t="s">
        <v>155</v>
      </c>
      <c r="D74" s="85">
        <v>1</v>
      </c>
      <c r="E74" s="85">
        <v>1</v>
      </c>
      <c r="F74" s="85">
        <f>3.66+3.8+4.04+4</f>
        <v>15.5</v>
      </c>
      <c r="G74" s="85">
        <v>1.5</v>
      </c>
      <c r="H74" s="85">
        <f>0.15</f>
        <v>0.15</v>
      </c>
      <c r="I74" s="44">
        <v>1.03</v>
      </c>
      <c r="J74" s="44">
        <f t="shared" ref="J74:J76" si="4">+D74*E74*F74*G74*H74*I74</f>
        <v>3.5921249999999998</v>
      </c>
      <c r="K74" s="45" t="s">
        <v>95</v>
      </c>
    </row>
    <row r="75" spans="2:11" s="21" customFormat="1" x14ac:dyDescent="0.2">
      <c r="B75" s="83" t="s">
        <v>158</v>
      </c>
      <c r="C75" s="44" t="s">
        <v>224</v>
      </c>
      <c r="D75" s="186">
        <v>4</v>
      </c>
      <c r="E75" s="186">
        <v>10</v>
      </c>
      <c r="F75" s="186">
        <v>1.8</v>
      </c>
      <c r="G75" s="186">
        <v>1.8</v>
      </c>
      <c r="H75" s="44">
        <v>0.3</v>
      </c>
      <c r="I75" s="44">
        <v>1.03</v>
      </c>
      <c r="J75" s="44">
        <f>+D75*E75*F75*G75*H75*I75</f>
        <v>40.046399999999998</v>
      </c>
      <c r="K75" s="45" t="s">
        <v>95</v>
      </c>
    </row>
    <row r="76" spans="2:11" x14ac:dyDescent="0.2">
      <c r="B76" s="83" t="s">
        <v>227</v>
      </c>
      <c r="C76" s="84" t="s">
        <v>228</v>
      </c>
      <c r="D76" s="85">
        <v>1</v>
      </c>
      <c r="E76" s="85">
        <v>1</v>
      </c>
      <c r="F76" s="85">
        <f>3.66+3.8+4.04+4+4.02+4.11+6.5</f>
        <v>30.13</v>
      </c>
      <c r="G76" s="85">
        <f>4.21+4.34+(1.5*2)</f>
        <v>11.55</v>
      </c>
      <c r="H76" s="84">
        <v>0.2</v>
      </c>
      <c r="I76" s="44">
        <v>1.03</v>
      </c>
      <c r="J76" s="44">
        <f t="shared" si="4"/>
        <v>71.688309000000004</v>
      </c>
      <c r="K76" s="45" t="s">
        <v>95</v>
      </c>
    </row>
    <row r="77" spans="2:11" ht="15" thickBot="1" x14ac:dyDescent="0.25">
      <c r="B77" s="46"/>
      <c r="C77" s="47"/>
      <c r="D77" s="48"/>
      <c r="E77" s="48"/>
      <c r="F77" s="48"/>
      <c r="G77" s="48"/>
      <c r="H77" s="47"/>
      <c r="I77" s="47"/>
      <c r="J77" s="47"/>
      <c r="K77" s="49"/>
    </row>
  </sheetData>
  <mergeCells count="33">
    <mergeCell ref="B30:C30"/>
    <mergeCell ref="B15:G15"/>
    <mergeCell ref="B16:C16"/>
    <mergeCell ref="B17:C17"/>
    <mergeCell ref="B18:C18"/>
    <mergeCell ref="B19:C19"/>
    <mergeCell ref="B22:C22"/>
    <mergeCell ref="B23:F23"/>
    <mergeCell ref="B24:G24"/>
    <mergeCell ref="B26:C26"/>
    <mergeCell ref="B29:C29"/>
    <mergeCell ref="B20:C20"/>
    <mergeCell ref="B27:C27"/>
    <mergeCell ref="B21:C21"/>
    <mergeCell ref="B25:C25"/>
    <mergeCell ref="B28:C28"/>
    <mergeCell ref="B33:C33"/>
    <mergeCell ref="B34:C34"/>
    <mergeCell ref="B31:F31"/>
    <mergeCell ref="B32:G32"/>
    <mergeCell ref="B36:C36"/>
    <mergeCell ref="B35:C35"/>
    <mergeCell ref="B46:F46"/>
    <mergeCell ref="B48:F48"/>
    <mergeCell ref="B49:F49"/>
    <mergeCell ref="B45:C45"/>
    <mergeCell ref="B37:C37"/>
    <mergeCell ref="B39:F39"/>
    <mergeCell ref="B40:F40"/>
    <mergeCell ref="B41:F41"/>
    <mergeCell ref="B44:C44"/>
    <mergeCell ref="B38:C38"/>
    <mergeCell ref="B42:D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69"/>
  <sheetViews>
    <sheetView topLeftCell="A52" workbookViewId="0">
      <selection activeCell="D73" sqref="D73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6.42578125" style="1" customWidth="1"/>
    <col min="4" max="4" width="13.5703125" style="2" customWidth="1"/>
    <col min="5" max="5" width="12.5703125" style="2" customWidth="1"/>
    <col min="6" max="6" width="23.28515625" style="2" customWidth="1"/>
    <col min="7" max="7" width="15" style="2" customWidth="1"/>
    <col min="8" max="8" width="11" style="1" customWidth="1"/>
    <col min="9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+BOQ!B43</f>
        <v>0</v>
      </c>
    </row>
    <row r="7" spans="2:11" ht="15" x14ac:dyDescent="0.25">
      <c r="B7" s="7" t="s">
        <v>48</v>
      </c>
      <c r="C7" s="19" t="str">
        <f>+BOQ!C43</f>
        <v>Concrete Works</v>
      </c>
    </row>
    <row r="8" spans="2:11" ht="15" x14ac:dyDescent="0.25">
      <c r="B8" s="7" t="s">
        <v>47</v>
      </c>
      <c r="C8" s="19">
        <f>+BOQ!B46</f>
        <v>0</v>
      </c>
    </row>
    <row r="9" spans="2:11" ht="15" x14ac:dyDescent="0.25">
      <c r="B9" s="7" t="s">
        <v>49</v>
      </c>
      <c r="C9" s="19" t="str">
        <f>+BOQ!C46</f>
        <v>Plastering</v>
      </c>
    </row>
    <row r="10" spans="2:11" x14ac:dyDescent="0.2">
      <c r="B10" s="7"/>
    </row>
    <row r="11" spans="2:11" x14ac:dyDescent="0.2">
      <c r="B11" s="21" t="s">
        <v>45</v>
      </c>
      <c r="C11" s="76">
        <f>+J54</f>
        <v>208.97520000000006</v>
      </c>
      <c r="D11" s="21" t="s">
        <v>44</v>
      </c>
      <c r="E11" s="77" t="str">
        <f>+K54</f>
        <v>sq.m.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93" t="s">
        <v>4</v>
      </c>
      <c r="E16" s="93" t="s">
        <v>5</v>
      </c>
      <c r="F16" s="93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 t="s">
        <v>136</v>
      </c>
      <c r="C17" s="244"/>
      <c r="D17" s="94">
        <f>+ROUNDUP(J53*12,0)</f>
        <v>251</v>
      </c>
      <c r="E17" s="94" t="s">
        <v>118</v>
      </c>
      <c r="F17" s="94">
        <v>270</v>
      </c>
      <c r="G17" s="30">
        <f>+D17*F17</f>
        <v>67770</v>
      </c>
      <c r="H17" s="21"/>
      <c r="I17" s="21"/>
      <c r="J17" s="21"/>
      <c r="K17" s="21"/>
    </row>
    <row r="18" spans="2:11" x14ac:dyDescent="0.2">
      <c r="B18" s="243" t="s">
        <v>99</v>
      </c>
      <c r="C18" s="244"/>
      <c r="D18" s="94">
        <f>+ROUNDUP(J53,0)</f>
        <v>21</v>
      </c>
      <c r="E18" s="94" t="s">
        <v>95</v>
      </c>
      <c r="F18" s="94">
        <v>2100</v>
      </c>
      <c r="G18" s="30">
        <f>+D18*F18</f>
        <v>44100</v>
      </c>
      <c r="H18" s="21"/>
      <c r="I18" s="21"/>
      <c r="J18" s="21"/>
      <c r="K18" s="21"/>
    </row>
    <row r="19" spans="2:11" x14ac:dyDescent="0.2">
      <c r="B19" s="264" t="s">
        <v>101</v>
      </c>
      <c r="C19" s="265"/>
      <c r="D19" s="94">
        <f>+C11*0.25</f>
        <v>52.243800000000014</v>
      </c>
      <c r="E19" s="94" t="s">
        <v>95</v>
      </c>
      <c r="F19" s="94">
        <v>0</v>
      </c>
      <c r="G19" s="30">
        <f>+D19*F19</f>
        <v>0</v>
      </c>
      <c r="H19" s="21"/>
      <c r="I19" s="21"/>
      <c r="J19" s="21"/>
      <c r="K19" s="21"/>
    </row>
    <row r="20" spans="2:11" x14ac:dyDescent="0.2">
      <c r="B20" s="264" t="s">
        <v>96</v>
      </c>
      <c r="C20" s="265"/>
      <c r="D20" s="94">
        <v>1</v>
      </c>
      <c r="E20" s="94" t="s">
        <v>97</v>
      </c>
      <c r="F20" s="94">
        <v>2000</v>
      </c>
      <c r="G20" s="30">
        <f>+D20*F20</f>
        <v>2000</v>
      </c>
      <c r="H20" s="21"/>
      <c r="I20" s="21"/>
      <c r="J20" s="21"/>
      <c r="K20" s="21"/>
    </row>
    <row r="21" spans="2:11" x14ac:dyDescent="0.2">
      <c r="B21" s="243"/>
      <c r="C21" s="244"/>
      <c r="D21" s="94"/>
      <c r="E21" s="94"/>
      <c r="F21" s="94"/>
      <c r="G21" s="30"/>
      <c r="H21" s="21"/>
      <c r="I21" s="21"/>
      <c r="J21" s="21"/>
      <c r="K21" s="21"/>
    </row>
    <row r="22" spans="2:11" ht="15" thickBot="1" x14ac:dyDescent="0.25">
      <c r="B22" s="258" t="s">
        <v>51</v>
      </c>
      <c r="C22" s="259"/>
      <c r="D22" s="259"/>
      <c r="E22" s="259"/>
      <c r="F22" s="259"/>
      <c r="G22" s="67">
        <f>+SUM(G17:G21)</f>
        <v>113870</v>
      </c>
      <c r="H22" s="21"/>
      <c r="I22" s="21"/>
      <c r="J22" s="21"/>
      <c r="K22" s="21"/>
    </row>
    <row r="23" spans="2:11" ht="15" thickBot="1" x14ac:dyDescent="0.25">
      <c r="B23" s="255" t="s">
        <v>75</v>
      </c>
      <c r="C23" s="256"/>
      <c r="D23" s="256"/>
      <c r="E23" s="256"/>
      <c r="F23" s="256"/>
      <c r="G23" s="257"/>
      <c r="H23" s="21"/>
      <c r="I23" s="21"/>
      <c r="J23" s="21"/>
      <c r="K23" s="21"/>
    </row>
    <row r="24" spans="2:11" ht="15" x14ac:dyDescent="0.2">
      <c r="B24" s="266" t="s">
        <v>2</v>
      </c>
      <c r="C24" s="267"/>
      <c r="D24" s="91" t="s">
        <v>3</v>
      </c>
      <c r="E24" s="91" t="s">
        <v>68</v>
      </c>
      <c r="F24" s="91" t="s">
        <v>69</v>
      </c>
      <c r="G24" s="51" t="s">
        <v>7</v>
      </c>
      <c r="H24" s="33"/>
      <c r="I24" s="33"/>
      <c r="J24" s="33"/>
      <c r="K24" s="33"/>
    </row>
    <row r="25" spans="2:11" x14ac:dyDescent="0.2">
      <c r="B25" s="264" t="s">
        <v>71</v>
      </c>
      <c r="C25" s="265"/>
      <c r="D25" s="94">
        <v>1</v>
      </c>
      <c r="E25" s="94">
        <v>2000</v>
      </c>
      <c r="F25" s="94">
        <v>4.585</v>
      </c>
      <c r="G25" s="30">
        <f>+D25*E25*F25</f>
        <v>9170</v>
      </c>
      <c r="H25" s="21">
        <f>+G46-H46</f>
        <v>4.8790669893605809E-3</v>
      </c>
      <c r="I25" s="21"/>
      <c r="J25" s="21"/>
      <c r="K25" s="21"/>
    </row>
    <row r="26" spans="2:11" x14ac:dyDescent="0.2">
      <c r="B26" s="243" t="s">
        <v>89</v>
      </c>
      <c r="C26" s="244"/>
      <c r="D26" s="94">
        <v>2</v>
      </c>
      <c r="E26" s="94">
        <v>200</v>
      </c>
      <c r="F26" s="94">
        <v>2</v>
      </c>
      <c r="G26" s="30">
        <f>+D26*E26*F26</f>
        <v>800</v>
      </c>
      <c r="H26" s="21"/>
      <c r="I26" s="21"/>
      <c r="J26" s="21"/>
      <c r="K26" s="21"/>
    </row>
    <row r="27" spans="2:11" x14ac:dyDescent="0.2">
      <c r="B27" s="243"/>
      <c r="C27" s="244"/>
      <c r="D27" s="94"/>
      <c r="E27" s="94"/>
      <c r="F27" s="94"/>
      <c r="G27" s="30"/>
      <c r="H27" s="21"/>
      <c r="I27" s="21"/>
      <c r="J27" s="21"/>
      <c r="K27" s="21"/>
    </row>
    <row r="28" spans="2:11" ht="15" thickBot="1" x14ac:dyDescent="0.25">
      <c r="B28" s="253" t="s">
        <v>52</v>
      </c>
      <c r="C28" s="254"/>
      <c r="D28" s="254"/>
      <c r="E28" s="254"/>
      <c r="F28" s="254"/>
      <c r="G28" s="68">
        <f>+SUM(G25:G27)</f>
        <v>9970</v>
      </c>
      <c r="H28" s="21"/>
      <c r="I28" s="21"/>
      <c r="J28" s="21"/>
      <c r="K28" s="21"/>
    </row>
    <row r="29" spans="2:11" ht="15" thickBot="1" x14ac:dyDescent="0.25">
      <c r="B29" s="255" t="s">
        <v>76</v>
      </c>
      <c r="C29" s="256"/>
      <c r="D29" s="256"/>
      <c r="E29" s="256"/>
      <c r="F29" s="256"/>
      <c r="G29" s="257"/>
      <c r="H29" s="21"/>
      <c r="I29" s="21"/>
      <c r="J29" s="21"/>
      <c r="K29" s="21"/>
    </row>
    <row r="30" spans="2:11" ht="15" x14ac:dyDescent="0.2">
      <c r="B30" s="241" t="s">
        <v>2</v>
      </c>
      <c r="C30" s="242"/>
      <c r="D30" s="97" t="s">
        <v>3</v>
      </c>
      <c r="E30" s="97" t="s">
        <v>68</v>
      </c>
      <c r="F30" s="97" t="s">
        <v>69</v>
      </c>
      <c r="G30" s="32" t="s">
        <v>7</v>
      </c>
      <c r="H30" s="21"/>
      <c r="I30" s="21"/>
      <c r="J30" s="21"/>
      <c r="K30" s="21"/>
    </row>
    <row r="31" spans="2:11" x14ac:dyDescent="0.2">
      <c r="B31" s="243" t="s">
        <v>72</v>
      </c>
      <c r="C31" s="244"/>
      <c r="D31" s="94">
        <v>1</v>
      </c>
      <c r="E31" s="94">
        <v>750</v>
      </c>
      <c r="F31" s="94">
        <f>+C11/12</f>
        <v>17.414600000000004</v>
      </c>
      <c r="G31" s="30">
        <f>+D31*E31*F31</f>
        <v>13060.950000000003</v>
      </c>
      <c r="H31" s="21"/>
      <c r="I31" s="21"/>
      <c r="J31" s="21"/>
      <c r="K31" s="21"/>
    </row>
    <row r="32" spans="2:11" x14ac:dyDescent="0.2">
      <c r="B32" s="264" t="s">
        <v>122</v>
      </c>
      <c r="C32" s="265"/>
      <c r="D32" s="94">
        <v>4</v>
      </c>
      <c r="E32" s="94">
        <v>600</v>
      </c>
      <c r="F32" s="94">
        <f>+F31</f>
        <v>17.414600000000004</v>
      </c>
      <c r="G32" s="30">
        <f>+D32*E32*F32</f>
        <v>41795.040000000008</v>
      </c>
      <c r="H32" s="21"/>
      <c r="I32" s="21"/>
      <c r="J32" s="21"/>
      <c r="K32" s="21"/>
    </row>
    <row r="33" spans="2:11" x14ac:dyDescent="0.2">
      <c r="B33" s="243" t="s">
        <v>73</v>
      </c>
      <c r="C33" s="244"/>
      <c r="D33" s="94">
        <v>4</v>
      </c>
      <c r="E33" s="94">
        <v>450</v>
      </c>
      <c r="F33" s="94">
        <f>+F31</f>
        <v>17.414600000000004</v>
      </c>
      <c r="G33" s="30">
        <f>+D33*E33*F33</f>
        <v>31346.280000000006</v>
      </c>
      <c r="H33" s="21"/>
      <c r="I33" s="21"/>
      <c r="J33" s="21"/>
      <c r="K33" s="21"/>
    </row>
    <row r="34" spans="2:11" x14ac:dyDescent="0.2">
      <c r="B34" s="243"/>
      <c r="C34" s="244"/>
      <c r="D34" s="94"/>
      <c r="E34" s="94"/>
      <c r="F34" s="94"/>
      <c r="G34" s="30"/>
      <c r="H34" s="21"/>
      <c r="I34" s="21"/>
      <c r="J34" s="21"/>
      <c r="K34" s="21"/>
    </row>
    <row r="35" spans="2:11" x14ac:dyDescent="0.2">
      <c r="B35" s="243"/>
      <c r="C35" s="244"/>
      <c r="D35" s="94"/>
      <c r="E35" s="94"/>
      <c r="F35" s="94"/>
      <c r="G35" s="30"/>
      <c r="H35" s="21"/>
      <c r="I35" s="21"/>
      <c r="J35" s="21"/>
      <c r="K35" s="21"/>
    </row>
    <row r="36" spans="2:11" ht="15" thickBot="1" x14ac:dyDescent="0.25">
      <c r="B36" s="258" t="s">
        <v>53</v>
      </c>
      <c r="C36" s="259"/>
      <c r="D36" s="259"/>
      <c r="E36" s="259"/>
      <c r="F36" s="259"/>
      <c r="G36" s="67">
        <f>+SUM(G31:G35)</f>
        <v>86202.270000000019</v>
      </c>
      <c r="H36" s="21"/>
      <c r="I36" s="21"/>
      <c r="J36" s="21"/>
      <c r="K36" s="21"/>
    </row>
    <row r="37" spans="2:11" ht="15.75" thickBot="1" x14ac:dyDescent="0.3">
      <c r="B37" s="239" t="s">
        <v>77</v>
      </c>
      <c r="C37" s="240"/>
      <c r="D37" s="240"/>
      <c r="E37" s="240"/>
      <c r="F37" s="240"/>
      <c r="G37" s="52">
        <f>+SUM(G22,G28,G36)</f>
        <v>210042.27000000002</v>
      </c>
      <c r="H37" s="21"/>
      <c r="I37" s="21"/>
      <c r="J37" s="21"/>
      <c r="K37" s="21"/>
    </row>
    <row r="38" spans="2:11" x14ac:dyDescent="0.2">
      <c r="B38" s="247"/>
      <c r="C38" s="248"/>
      <c r="D38" s="248"/>
      <c r="E38" s="248"/>
      <c r="F38" s="248"/>
      <c r="G38" s="34"/>
      <c r="H38" s="21"/>
      <c r="I38" s="21"/>
      <c r="J38" s="21"/>
      <c r="K38" s="21"/>
    </row>
    <row r="39" spans="2:11" x14ac:dyDescent="0.2">
      <c r="B39" s="249" t="s">
        <v>149</v>
      </c>
      <c r="C39" s="250"/>
      <c r="D39" s="250"/>
      <c r="E39" s="137">
        <v>0.01</v>
      </c>
      <c r="F39" s="80" t="s">
        <v>80</v>
      </c>
      <c r="G39" s="34">
        <f>+G37*E39</f>
        <v>2100.4227000000001</v>
      </c>
      <c r="H39" s="21"/>
      <c r="I39" s="21"/>
      <c r="J39" s="21"/>
      <c r="K39" s="21"/>
    </row>
    <row r="40" spans="2:11" ht="14.65" customHeight="1" x14ac:dyDescent="0.2">
      <c r="B40" s="78" t="s">
        <v>79</v>
      </c>
      <c r="C40" s="76"/>
      <c r="D40" s="58"/>
      <c r="E40" s="139">
        <v>0.12</v>
      </c>
      <c r="F40" s="80" t="s">
        <v>80</v>
      </c>
      <c r="G40" s="81">
        <f>+G37*E40</f>
        <v>25205.072400000001</v>
      </c>
      <c r="H40" s="82"/>
      <c r="I40" s="82"/>
      <c r="J40" s="82"/>
      <c r="K40" s="82"/>
    </row>
    <row r="41" spans="2:11" x14ac:dyDescent="0.2">
      <c r="B41" s="245" t="s">
        <v>81</v>
      </c>
      <c r="C41" s="246"/>
      <c r="D41" s="56"/>
      <c r="E41" s="140">
        <v>0.08</v>
      </c>
      <c r="F41" s="71" t="s">
        <v>80</v>
      </c>
      <c r="G41" s="70">
        <f>+G37*E41</f>
        <v>16803.381600000001</v>
      </c>
      <c r="H41" s="21"/>
      <c r="I41" s="21"/>
      <c r="J41" s="21"/>
      <c r="K41" s="21"/>
    </row>
    <row r="42" spans="2:11" ht="15" thickBot="1" x14ac:dyDescent="0.25">
      <c r="B42" s="251" t="s">
        <v>78</v>
      </c>
      <c r="C42" s="252"/>
      <c r="D42" s="57"/>
      <c r="E42" s="141">
        <v>0.05</v>
      </c>
      <c r="F42" s="72" t="s">
        <v>82</v>
      </c>
      <c r="G42" s="70">
        <f>+E42*(G37+G40+G41)</f>
        <v>12602.536200000002</v>
      </c>
      <c r="H42" s="21"/>
      <c r="I42" s="21"/>
      <c r="J42" s="21"/>
      <c r="K42" s="21"/>
    </row>
    <row r="43" spans="2:11" ht="15.75" thickBot="1" x14ac:dyDescent="0.3">
      <c r="B43" s="239" t="s">
        <v>55</v>
      </c>
      <c r="C43" s="240"/>
      <c r="D43" s="240"/>
      <c r="E43" s="240"/>
      <c r="F43" s="240"/>
      <c r="G43" s="38">
        <f>+SUM(G39:G42)</f>
        <v>56711.412900000003</v>
      </c>
      <c r="H43" s="21"/>
      <c r="I43" s="21"/>
      <c r="J43" s="21"/>
      <c r="K43" s="21"/>
    </row>
    <row r="44" spans="2:11" ht="15.75" thickBot="1" x14ac:dyDescent="0.3">
      <c r="B44" s="53"/>
      <c r="C44" s="54"/>
      <c r="D44" s="54"/>
      <c r="E44" s="54"/>
      <c r="F44" s="55"/>
      <c r="G44" s="35"/>
      <c r="H44" s="21"/>
      <c r="I44" s="21"/>
      <c r="J44" s="21"/>
      <c r="K44" s="21"/>
    </row>
    <row r="45" spans="2:11" ht="15.75" thickBot="1" x14ac:dyDescent="0.3">
      <c r="B45" s="236" t="s">
        <v>57</v>
      </c>
      <c r="C45" s="237"/>
      <c r="D45" s="237"/>
      <c r="E45" s="237"/>
      <c r="F45" s="238"/>
      <c r="G45" s="38">
        <f>+SUM(G37,G43)</f>
        <v>266753.68290000001</v>
      </c>
      <c r="H45" s="21"/>
      <c r="I45" s="21"/>
      <c r="J45" s="21"/>
      <c r="K45" s="21"/>
    </row>
    <row r="46" spans="2:11" ht="15.75" thickBot="1" x14ac:dyDescent="0.3">
      <c r="B46" s="239" t="s">
        <v>56</v>
      </c>
      <c r="C46" s="240"/>
      <c r="D46" s="240"/>
      <c r="E46" s="240"/>
      <c r="F46" s="240"/>
      <c r="G46" s="38">
        <f>+G45/C11</f>
        <v>1276.4848790669894</v>
      </c>
      <c r="H46" s="21">
        <v>1276.48</v>
      </c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  <row r="48" spans="2:11" x14ac:dyDescent="0.2">
      <c r="B48" s="21"/>
      <c r="C48" s="21"/>
      <c r="D48" s="22"/>
      <c r="E48" s="22"/>
      <c r="F48" s="22"/>
      <c r="G48" s="22"/>
      <c r="H48" s="21"/>
      <c r="I48" s="21"/>
      <c r="J48" s="21"/>
      <c r="K48" s="21"/>
    </row>
    <row r="49" spans="2:11" ht="15" thickBot="1" x14ac:dyDescent="0.25">
      <c r="B49" s="24" t="s">
        <v>58</v>
      </c>
      <c r="C49" s="21"/>
      <c r="D49" s="22"/>
      <c r="E49" s="22"/>
      <c r="F49" s="22"/>
      <c r="G49" s="22"/>
      <c r="H49" s="21"/>
      <c r="I49" s="21"/>
      <c r="J49" s="21"/>
      <c r="K49" s="21"/>
    </row>
    <row r="50" spans="2:11" ht="15.75" thickBot="1" x14ac:dyDescent="0.3">
      <c r="B50" s="36" t="s">
        <v>59</v>
      </c>
      <c r="C50" s="37" t="s">
        <v>60</v>
      </c>
      <c r="D50" s="37" t="s">
        <v>61</v>
      </c>
      <c r="E50" s="37" t="s">
        <v>62</v>
      </c>
      <c r="F50" s="37" t="s">
        <v>63</v>
      </c>
      <c r="G50" s="37" t="s">
        <v>64</v>
      </c>
      <c r="H50" s="37" t="s">
        <v>65</v>
      </c>
      <c r="I50" s="37" t="s">
        <v>66</v>
      </c>
      <c r="J50" s="37" t="s">
        <v>67</v>
      </c>
      <c r="K50" s="38" t="s">
        <v>43</v>
      </c>
    </row>
    <row r="51" spans="2:11" x14ac:dyDescent="0.2">
      <c r="B51" s="40"/>
      <c r="C51" s="41"/>
      <c r="D51" s="96"/>
      <c r="E51" s="96"/>
      <c r="F51" s="96"/>
      <c r="G51" s="96"/>
      <c r="H51" s="41"/>
      <c r="I51" s="41"/>
      <c r="J51" s="41"/>
      <c r="K51" s="43"/>
    </row>
    <row r="52" spans="2:11" ht="15" x14ac:dyDescent="0.25">
      <c r="B52" s="92">
        <f>+C6</f>
        <v>0</v>
      </c>
      <c r="C52" s="75" t="str">
        <f>+C7</f>
        <v>Concrete Works</v>
      </c>
      <c r="D52" s="96"/>
      <c r="E52" s="96"/>
      <c r="F52" s="96"/>
      <c r="G52" s="96"/>
      <c r="H52" s="41"/>
      <c r="I52" s="41"/>
      <c r="J52" s="41"/>
      <c r="K52" s="43"/>
    </row>
    <row r="53" spans="2:11" ht="15" x14ac:dyDescent="0.25">
      <c r="B53" s="92">
        <f>+C8</f>
        <v>0</v>
      </c>
      <c r="C53" s="75" t="str">
        <f>+C9</f>
        <v>Plastering</v>
      </c>
      <c r="D53" s="96"/>
      <c r="E53" s="96"/>
      <c r="F53" s="96"/>
      <c r="G53" s="96"/>
      <c r="H53" s="41"/>
      <c r="I53" s="41" t="s">
        <v>146</v>
      </c>
      <c r="J53" s="73">
        <f>+J54*0.1</f>
        <v>20.897520000000007</v>
      </c>
      <c r="K53" s="125" t="s">
        <v>95</v>
      </c>
    </row>
    <row r="54" spans="2:11" ht="15" x14ac:dyDescent="0.25">
      <c r="B54" s="121"/>
      <c r="C54" s="122"/>
      <c r="D54" s="123"/>
      <c r="E54" s="123"/>
      <c r="F54" s="123"/>
      <c r="G54" s="123"/>
      <c r="H54" s="124"/>
      <c r="I54" s="41"/>
      <c r="J54" s="73">
        <f>+SUM(J55:J68)</f>
        <v>208.97520000000006</v>
      </c>
      <c r="K54" s="74" t="s">
        <v>84</v>
      </c>
    </row>
    <row r="55" spans="2:11" x14ac:dyDescent="0.2">
      <c r="B55" s="83" t="s">
        <v>86</v>
      </c>
      <c r="C55" s="84" t="s">
        <v>90</v>
      </c>
      <c r="D55" s="85">
        <f>8</f>
        <v>8</v>
      </c>
      <c r="E55" s="85">
        <f>4*2</f>
        <v>8</v>
      </c>
      <c r="F55" s="85">
        <v>0.3</v>
      </c>
      <c r="G55" s="85">
        <v>1</v>
      </c>
      <c r="H55" s="84">
        <v>3</v>
      </c>
      <c r="I55" s="44">
        <v>1.05</v>
      </c>
      <c r="J55" s="44">
        <f t="shared" ref="J55:J68" si="0">+D55*E55*F55*G55*H55*I55</f>
        <v>60.48</v>
      </c>
      <c r="K55" s="45" t="s">
        <v>84</v>
      </c>
    </row>
    <row r="56" spans="2:11" x14ac:dyDescent="0.2">
      <c r="B56" s="83" t="s">
        <v>87</v>
      </c>
      <c r="C56" s="84" t="s">
        <v>102</v>
      </c>
      <c r="D56" s="85"/>
      <c r="E56" s="85"/>
      <c r="F56" s="85"/>
      <c r="G56" s="85"/>
      <c r="H56" s="84"/>
      <c r="I56" s="44"/>
      <c r="J56" s="44"/>
      <c r="K56" s="45"/>
    </row>
    <row r="57" spans="2:11" x14ac:dyDescent="0.2">
      <c r="B57" s="83" t="s">
        <v>147</v>
      </c>
      <c r="C57" s="84" t="s">
        <v>104</v>
      </c>
      <c r="D57" s="85"/>
      <c r="E57" s="85"/>
      <c r="F57" s="85"/>
      <c r="G57" s="85"/>
      <c r="H57" s="84"/>
      <c r="I57" s="44"/>
      <c r="J57" s="44"/>
      <c r="K57" s="86"/>
    </row>
    <row r="58" spans="2:11" x14ac:dyDescent="0.2">
      <c r="B58" s="83"/>
      <c r="C58" s="84" t="s">
        <v>109</v>
      </c>
      <c r="D58" s="85">
        <v>1</v>
      </c>
      <c r="E58" s="85">
        <f>4*2</f>
        <v>8</v>
      </c>
      <c r="F58" s="85">
        <v>0.25</v>
      </c>
      <c r="G58" s="85">
        <v>1</v>
      </c>
      <c r="H58" s="84">
        <v>6.5</v>
      </c>
      <c r="I58" s="44">
        <v>1.05</v>
      </c>
      <c r="J58" s="44">
        <f>+D58*E58*F58*G58*H58*I58</f>
        <v>13.65</v>
      </c>
      <c r="K58" s="45" t="s">
        <v>84</v>
      </c>
    </row>
    <row r="59" spans="2:11" x14ac:dyDescent="0.2">
      <c r="B59" s="83"/>
      <c r="C59" s="84" t="s">
        <v>106</v>
      </c>
      <c r="D59" s="85">
        <v>2</v>
      </c>
      <c r="E59" s="85">
        <f>4*2</f>
        <v>8</v>
      </c>
      <c r="F59" s="85">
        <v>0.3</v>
      </c>
      <c r="G59" s="85">
        <v>1</v>
      </c>
      <c r="H59" s="84">
        <v>4.0199999999999996</v>
      </c>
      <c r="I59" s="44">
        <v>1.05</v>
      </c>
      <c r="J59" s="44">
        <f t="shared" si="0"/>
        <v>20.260799999999996</v>
      </c>
      <c r="K59" s="45" t="s">
        <v>84</v>
      </c>
    </row>
    <row r="60" spans="2:11" x14ac:dyDescent="0.2">
      <c r="B60" s="83"/>
      <c r="C60" s="84" t="s">
        <v>107</v>
      </c>
      <c r="D60" s="85">
        <v>2</v>
      </c>
      <c r="E60" s="85">
        <f>4*2</f>
        <v>8</v>
      </c>
      <c r="F60" s="85">
        <v>0.3</v>
      </c>
      <c r="G60" s="85">
        <v>1</v>
      </c>
      <c r="H60" s="84">
        <v>4.1100000000000003</v>
      </c>
      <c r="I60" s="44">
        <v>1.05</v>
      </c>
      <c r="J60" s="44">
        <f t="shared" si="0"/>
        <v>20.714400000000001</v>
      </c>
      <c r="K60" s="45" t="s">
        <v>84</v>
      </c>
    </row>
    <row r="61" spans="2:11" x14ac:dyDescent="0.2">
      <c r="B61" s="83"/>
      <c r="C61" s="84" t="s">
        <v>108</v>
      </c>
      <c r="D61" s="85">
        <v>2</v>
      </c>
      <c r="E61" s="85">
        <f>4*2</f>
        <v>8</v>
      </c>
      <c r="F61" s="85">
        <v>0.3</v>
      </c>
      <c r="G61" s="85">
        <v>1</v>
      </c>
      <c r="H61" s="84">
        <v>6.5</v>
      </c>
      <c r="I61" s="44">
        <v>1.05</v>
      </c>
      <c r="J61" s="44">
        <f t="shared" si="0"/>
        <v>32.76</v>
      </c>
      <c r="K61" s="45" t="s">
        <v>84</v>
      </c>
    </row>
    <row r="62" spans="2:11" x14ac:dyDescent="0.2">
      <c r="B62" s="83" t="s">
        <v>148</v>
      </c>
      <c r="C62" s="84" t="s">
        <v>105</v>
      </c>
      <c r="D62" s="85"/>
      <c r="E62" s="85"/>
      <c r="F62" s="85"/>
      <c r="G62" s="85"/>
      <c r="H62" s="84"/>
      <c r="I62" s="44"/>
      <c r="J62" s="44"/>
      <c r="K62" s="86"/>
    </row>
    <row r="63" spans="2:11" x14ac:dyDescent="0.2">
      <c r="B63" s="83"/>
      <c r="C63" s="84" t="s">
        <v>112</v>
      </c>
      <c r="D63" s="85">
        <v>2</v>
      </c>
      <c r="E63" s="85">
        <f t="shared" ref="E63:E68" si="1">4*2</f>
        <v>8</v>
      </c>
      <c r="F63" s="85">
        <v>0.25</v>
      </c>
      <c r="G63" s="85">
        <v>1</v>
      </c>
      <c r="H63" s="84">
        <v>1.5</v>
      </c>
      <c r="I63" s="44">
        <v>1.05</v>
      </c>
      <c r="J63" s="44">
        <f t="shared" si="0"/>
        <v>6.3000000000000007</v>
      </c>
      <c r="K63" s="45" t="s">
        <v>84</v>
      </c>
    </row>
    <row r="64" spans="2:11" x14ac:dyDescent="0.2">
      <c r="B64" s="83"/>
      <c r="C64" s="84" t="s">
        <v>113</v>
      </c>
      <c r="D64" s="85">
        <v>2</v>
      </c>
      <c r="E64" s="85">
        <f t="shared" si="1"/>
        <v>8</v>
      </c>
      <c r="F64" s="85">
        <v>0.25</v>
      </c>
      <c r="G64" s="85">
        <v>1</v>
      </c>
      <c r="H64" s="84">
        <v>1.5</v>
      </c>
      <c r="I64" s="44">
        <v>1.05</v>
      </c>
      <c r="J64" s="44">
        <f t="shared" si="0"/>
        <v>6.3000000000000007</v>
      </c>
      <c r="K64" s="45" t="s">
        <v>84</v>
      </c>
    </row>
    <row r="65" spans="2:11" ht="13.15" customHeight="1" x14ac:dyDescent="0.2">
      <c r="B65" s="83"/>
      <c r="C65" s="84" t="s">
        <v>114</v>
      </c>
      <c r="D65" s="85">
        <v>2</v>
      </c>
      <c r="E65" s="85">
        <f t="shared" si="1"/>
        <v>8</v>
      </c>
      <c r="F65" s="85">
        <v>0.25</v>
      </c>
      <c r="G65" s="85">
        <v>1</v>
      </c>
      <c r="H65" s="84">
        <v>1.5</v>
      </c>
      <c r="I65" s="44">
        <v>1.05</v>
      </c>
      <c r="J65" s="44">
        <f t="shared" si="0"/>
        <v>6.3000000000000007</v>
      </c>
      <c r="K65" s="45" t="s">
        <v>84</v>
      </c>
    </row>
    <row r="66" spans="2:11" ht="13.15" customHeight="1" x14ac:dyDescent="0.2">
      <c r="B66" s="83"/>
      <c r="C66" s="84" t="s">
        <v>115</v>
      </c>
      <c r="D66" s="85">
        <v>2</v>
      </c>
      <c r="E66" s="85">
        <f t="shared" si="1"/>
        <v>8</v>
      </c>
      <c r="F66" s="85">
        <v>0.25</v>
      </c>
      <c r="G66" s="85">
        <v>1</v>
      </c>
      <c r="H66" s="84">
        <v>1.5</v>
      </c>
      <c r="I66" s="44">
        <v>1.05</v>
      </c>
      <c r="J66" s="44">
        <f t="shared" si="0"/>
        <v>6.3000000000000007</v>
      </c>
      <c r="K66" s="45" t="s">
        <v>84</v>
      </c>
    </row>
    <row r="67" spans="2:11" ht="13.15" customHeight="1" x14ac:dyDescent="0.2">
      <c r="B67" s="83"/>
      <c r="C67" s="84" t="s">
        <v>116</v>
      </c>
      <c r="D67" s="85">
        <v>1</v>
      </c>
      <c r="E67" s="85">
        <f t="shared" si="1"/>
        <v>8</v>
      </c>
      <c r="F67" s="85">
        <v>0.25</v>
      </c>
      <c r="G67" s="85">
        <v>1</v>
      </c>
      <c r="H67" s="84">
        <f>4.21+4.34</f>
        <v>8.5500000000000007</v>
      </c>
      <c r="I67" s="44">
        <v>1.05</v>
      </c>
      <c r="J67" s="44">
        <f t="shared" si="0"/>
        <v>17.955000000000002</v>
      </c>
      <c r="K67" s="45" t="s">
        <v>84</v>
      </c>
    </row>
    <row r="68" spans="2:11" x14ac:dyDescent="0.2">
      <c r="B68" s="83"/>
      <c r="C68" s="84" t="s">
        <v>117</v>
      </c>
      <c r="D68" s="85">
        <v>1</v>
      </c>
      <c r="E68" s="85">
        <f t="shared" si="1"/>
        <v>8</v>
      </c>
      <c r="F68" s="85">
        <v>0.25</v>
      </c>
      <c r="G68" s="85">
        <v>1</v>
      </c>
      <c r="H68" s="84">
        <f>4.21+4.34</f>
        <v>8.5500000000000007</v>
      </c>
      <c r="I68" s="44">
        <v>1.05</v>
      </c>
      <c r="J68" s="44">
        <f t="shared" si="0"/>
        <v>17.955000000000002</v>
      </c>
      <c r="K68" s="45" t="s">
        <v>84</v>
      </c>
    </row>
    <row r="69" spans="2:11" ht="15" thickBot="1" x14ac:dyDescent="0.25">
      <c r="B69" s="46"/>
      <c r="C69" s="47"/>
      <c r="D69" s="48"/>
      <c r="E69" s="48"/>
      <c r="F69" s="48"/>
      <c r="G69" s="48"/>
      <c r="H69" s="47"/>
      <c r="I69" s="47"/>
      <c r="J69" s="47"/>
      <c r="K69" s="49"/>
    </row>
  </sheetData>
  <mergeCells count="30">
    <mergeCell ref="B46:F46"/>
    <mergeCell ref="B25:C25"/>
    <mergeCell ref="B15:G15"/>
    <mergeCell ref="B16:C16"/>
    <mergeCell ref="B17:C17"/>
    <mergeCell ref="B18:C18"/>
    <mergeCell ref="B19:C19"/>
    <mergeCell ref="B20:C20"/>
    <mergeCell ref="B21:C21"/>
    <mergeCell ref="B22:F22"/>
    <mergeCell ref="B23:G23"/>
    <mergeCell ref="B24:C24"/>
    <mergeCell ref="B26:C26"/>
    <mergeCell ref="B27:C27"/>
    <mergeCell ref="B28:F28"/>
    <mergeCell ref="B29:G29"/>
    <mergeCell ref="B30:C30"/>
    <mergeCell ref="B31:C31"/>
    <mergeCell ref="B32:C32"/>
    <mergeCell ref="B33:C33"/>
    <mergeCell ref="B34:C34"/>
    <mergeCell ref="B35:C35"/>
    <mergeCell ref="B43:F43"/>
    <mergeCell ref="B45:F45"/>
    <mergeCell ref="B36:F36"/>
    <mergeCell ref="B37:F37"/>
    <mergeCell ref="B38:F38"/>
    <mergeCell ref="B41:C41"/>
    <mergeCell ref="B42:C42"/>
    <mergeCell ref="B39:D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9"/>
  <sheetViews>
    <sheetView topLeftCell="A46" workbookViewId="0">
      <selection activeCell="E66" sqref="E66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7.42578125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+BOQ!B68</f>
        <v>0</v>
      </c>
    </row>
    <row r="7" spans="2:11" ht="15" x14ac:dyDescent="0.25">
      <c r="B7" s="7" t="s">
        <v>48</v>
      </c>
      <c r="C7" s="19" t="str">
        <f>+BOQ!C68</f>
        <v>Architectural Works</v>
      </c>
    </row>
    <row r="8" spans="2:11" ht="15" x14ac:dyDescent="0.25">
      <c r="B8" s="7" t="s">
        <v>47</v>
      </c>
      <c r="C8" s="19">
        <f>+BOQ!B70</f>
        <v>0</v>
      </c>
    </row>
    <row r="9" spans="2:11" ht="15" x14ac:dyDescent="0.25">
      <c r="B9" s="7" t="s">
        <v>49</v>
      </c>
      <c r="C9" s="19" t="str">
        <f>+BOQ!C70</f>
        <v>Homogenous Tiles 600x600mm/units</v>
      </c>
    </row>
    <row r="10" spans="2:11" x14ac:dyDescent="0.2">
      <c r="B10" s="7"/>
    </row>
    <row r="11" spans="2:11" x14ac:dyDescent="0.2">
      <c r="B11" s="21" t="s">
        <v>45</v>
      </c>
      <c r="C11" s="76">
        <f>+J55</f>
        <v>203.64750000000001</v>
      </c>
      <c r="D11" s="21" t="s">
        <v>44</v>
      </c>
      <c r="E11" s="77" t="str">
        <f>+K55</f>
        <v>sq.m.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66" t="s">
        <v>4</v>
      </c>
      <c r="E16" s="66" t="s">
        <v>5</v>
      </c>
      <c r="F16" s="6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70" t="s">
        <v>137</v>
      </c>
      <c r="C17" s="271"/>
      <c r="D17" s="63">
        <f>+ROUNDUP(J55/(0.2032*0.4064),0)</f>
        <v>2467</v>
      </c>
      <c r="E17" s="100" t="s">
        <v>141</v>
      </c>
      <c r="F17" s="59">
        <v>25</v>
      </c>
      <c r="G17" s="104">
        <f>+D17*F17</f>
        <v>61675</v>
      </c>
    </row>
    <row r="18" spans="2:11" x14ac:dyDescent="0.2">
      <c r="B18" s="243" t="s">
        <v>136</v>
      </c>
      <c r="C18" s="244"/>
      <c r="D18" s="63">
        <f>+ROUNDUP(J67*12*1.05,0)</f>
        <v>115</v>
      </c>
      <c r="E18" s="63" t="s">
        <v>118</v>
      </c>
      <c r="F18" s="63">
        <v>270</v>
      </c>
      <c r="G18" s="30">
        <f>+D18*F18</f>
        <v>31050</v>
      </c>
      <c r="H18" s="21"/>
      <c r="I18" s="21"/>
      <c r="J18" s="21"/>
      <c r="K18" s="21"/>
    </row>
    <row r="19" spans="2:11" x14ac:dyDescent="0.2">
      <c r="B19" s="268" t="s">
        <v>99</v>
      </c>
      <c r="C19" s="269"/>
      <c r="D19" s="63">
        <f>+ROUNDUP(J67*1.03,0)</f>
        <v>10</v>
      </c>
      <c r="E19" s="63" t="s">
        <v>95</v>
      </c>
      <c r="F19" s="63">
        <v>2100</v>
      </c>
      <c r="G19" s="30">
        <f>+D19*F19</f>
        <v>21000</v>
      </c>
      <c r="H19" s="21"/>
      <c r="I19" s="21"/>
      <c r="J19" s="21"/>
      <c r="K19" s="21"/>
    </row>
    <row r="20" spans="2:11" x14ac:dyDescent="0.2">
      <c r="B20" s="264" t="s">
        <v>101</v>
      </c>
      <c r="C20" s="265"/>
      <c r="D20" s="63">
        <f>+J67*0.25</f>
        <v>2.2797652559055117</v>
      </c>
      <c r="E20" s="63" t="s">
        <v>95</v>
      </c>
      <c r="F20" s="63">
        <v>0</v>
      </c>
      <c r="G20" s="30">
        <f>+D20*F20</f>
        <v>0</v>
      </c>
      <c r="H20" s="21"/>
      <c r="I20" s="21"/>
      <c r="J20" s="21"/>
      <c r="K20" s="21"/>
    </row>
    <row r="21" spans="2:11" x14ac:dyDescent="0.2">
      <c r="B21" s="264"/>
      <c r="C21" s="265"/>
      <c r="D21" s="63"/>
      <c r="E21" s="63"/>
      <c r="F21" s="63"/>
      <c r="G21" s="30"/>
      <c r="H21" s="21"/>
      <c r="I21" s="21"/>
      <c r="J21" s="21"/>
      <c r="K21" s="21"/>
    </row>
    <row r="22" spans="2:11" x14ac:dyDescent="0.2">
      <c r="B22" s="264" t="s">
        <v>96</v>
      </c>
      <c r="C22" s="265"/>
      <c r="D22" s="63">
        <v>1</v>
      </c>
      <c r="E22" s="63" t="s">
        <v>97</v>
      </c>
      <c r="F22" s="63">
        <v>2000</v>
      </c>
      <c r="G22" s="30">
        <f>+D22*F22</f>
        <v>2000</v>
      </c>
      <c r="H22" s="21"/>
      <c r="I22" s="21"/>
      <c r="J22" s="21"/>
      <c r="K22" s="21"/>
    </row>
    <row r="23" spans="2:11" x14ac:dyDescent="0.2">
      <c r="B23" s="243"/>
      <c r="C23" s="244"/>
      <c r="D23" s="63"/>
      <c r="E23" s="63"/>
      <c r="F23" s="63"/>
      <c r="G23" s="30"/>
      <c r="H23" s="21"/>
      <c r="I23" s="21"/>
      <c r="J23" s="21"/>
      <c r="K23" s="21"/>
    </row>
    <row r="24" spans="2:11" ht="15" thickBot="1" x14ac:dyDescent="0.25">
      <c r="B24" s="253" t="s">
        <v>51</v>
      </c>
      <c r="C24" s="254"/>
      <c r="D24" s="254"/>
      <c r="E24" s="254"/>
      <c r="F24" s="254"/>
      <c r="G24" s="68">
        <f>+SUM(G18:G23)</f>
        <v>54050</v>
      </c>
      <c r="H24" s="21"/>
      <c r="I24" s="21"/>
      <c r="J24" s="21"/>
      <c r="K24" s="21"/>
    </row>
    <row r="25" spans="2:11" ht="15" thickBot="1" x14ac:dyDescent="0.25">
      <c r="B25" s="272" t="s">
        <v>75</v>
      </c>
      <c r="C25" s="273"/>
      <c r="D25" s="273"/>
      <c r="E25" s="273"/>
      <c r="F25" s="273"/>
      <c r="G25" s="274"/>
      <c r="H25" s="21"/>
      <c r="I25" s="21"/>
      <c r="J25" s="21"/>
      <c r="K25" s="21"/>
    </row>
    <row r="26" spans="2:11" ht="15" x14ac:dyDescent="0.2">
      <c r="B26" s="266" t="s">
        <v>2</v>
      </c>
      <c r="C26" s="267"/>
      <c r="D26" s="64" t="s">
        <v>3</v>
      </c>
      <c r="E26" s="64" t="s">
        <v>68</v>
      </c>
      <c r="F26" s="64" t="s">
        <v>69</v>
      </c>
      <c r="G26" s="51" t="s">
        <v>7</v>
      </c>
      <c r="H26" s="33"/>
      <c r="I26" s="33"/>
      <c r="J26" s="33"/>
      <c r="K26" s="33"/>
    </row>
    <row r="27" spans="2:11" x14ac:dyDescent="0.2">
      <c r="B27" s="264" t="s">
        <v>71</v>
      </c>
      <c r="C27" s="265"/>
      <c r="D27" s="63">
        <v>1</v>
      </c>
      <c r="E27" s="63">
        <v>2000</v>
      </c>
      <c r="F27" s="63">
        <v>1</v>
      </c>
      <c r="G27" s="30">
        <f>+D27*E27*F27</f>
        <v>2000</v>
      </c>
      <c r="H27" s="21"/>
      <c r="I27" s="21"/>
      <c r="J27" s="21"/>
      <c r="K27" s="21"/>
    </row>
    <row r="28" spans="2:11" x14ac:dyDescent="0.2">
      <c r="B28" s="243" t="s">
        <v>89</v>
      </c>
      <c r="C28" s="244"/>
      <c r="D28" s="63">
        <v>4</v>
      </c>
      <c r="E28" s="63">
        <v>200</v>
      </c>
      <c r="F28" s="63">
        <v>4</v>
      </c>
      <c r="G28" s="30">
        <f>+D28*E28*F28</f>
        <v>3200</v>
      </c>
      <c r="H28" s="21"/>
      <c r="I28" s="21"/>
      <c r="J28" s="21"/>
      <c r="K28" s="21"/>
    </row>
    <row r="29" spans="2:11" x14ac:dyDescent="0.2">
      <c r="B29" s="243"/>
      <c r="C29" s="244"/>
      <c r="D29" s="63"/>
      <c r="E29" s="63"/>
      <c r="F29" s="63"/>
      <c r="G29" s="30"/>
      <c r="H29" s="21"/>
      <c r="I29" s="21"/>
      <c r="J29" s="21"/>
      <c r="K29" s="21"/>
    </row>
    <row r="30" spans="2:11" ht="15" thickBot="1" x14ac:dyDescent="0.25">
      <c r="B30" s="253" t="s">
        <v>52</v>
      </c>
      <c r="C30" s="254"/>
      <c r="D30" s="254"/>
      <c r="E30" s="254"/>
      <c r="F30" s="254"/>
      <c r="G30" s="68">
        <f>+SUM(G27:G29)</f>
        <v>5200</v>
      </c>
      <c r="H30" s="21"/>
      <c r="I30" s="21"/>
      <c r="J30" s="21"/>
      <c r="K30" s="21"/>
    </row>
    <row r="31" spans="2:11" ht="15" thickBot="1" x14ac:dyDescent="0.25">
      <c r="B31" s="255" t="s">
        <v>76</v>
      </c>
      <c r="C31" s="256"/>
      <c r="D31" s="256"/>
      <c r="E31" s="256"/>
      <c r="F31" s="256"/>
      <c r="G31" s="257"/>
      <c r="H31" s="21"/>
      <c r="I31" s="21"/>
      <c r="J31" s="21"/>
      <c r="K31" s="21"/>
    </row>
    <row r="32" spans="2:11" ht="15" x14ac:dyDescent="0.2">
      <c r="B32" s="241" t="s">
        <v>2</v>
      </c>
      <c r="C32" s="242"/>
      <c r="D32" s="61" t="s">
        <v>3</v>
      </c>
      <c r="E32" s="61" t="s">
        <v>68</v>
      </c>
      <c r="F32" s="61" t="s">
        <v>69</v>
      </c>
      <c r="G32" s="32" t="s">
        <v>7</v>
      </c>
      <c r="H32" s="21"/>
      <c r="I32" s="21"/>
      <c r="J32" s="21"/>
      <c r="K32" s="21"/>
    </row>
    <row r="33" spans="2:11" x14ac:dyDescent="0.2">
      <c r="B33" s="243" t="s">
        <v>72</v>
      </c>
      <c r="C33" s="244"/>
      <c r="D33" s="63">
        <v>1</v>
      </c>
      <c r="E33" s="63">
        <v>750</v>
      </c>
      <c r="F33" s="63">
        <f>+C11/8</f>
        <v>25.455937500000001</v>
      </c>
      <c r="G33" s="30">
        <f>+D33*E33*F33</f>
        <v>19091.953125</v>
      </c>
      <c r="H33" s="21"/>
      <c r="I33" s="21"/>
      <c r="J33" s="21"/>
      <c r="K33" s="21"/>
    </row>
    <row r="34" spans="2:11" x14ac:dyDescent="0.2">
      <c r="B34" s="264" t="s">
        <v>122</v>
      </c>
      <c r="C34" s="265"/>
      <c r="D34" s="63">
        <v>4</v>
      </c>
      <c r="E34" s="63">
        <v>600</v>
      </c>
      <c r="F34" s="63">
        <f>+F33</f>
        <v>25.455937500000001</v>
      </c>
      <c r="G34" s="30">
        <f>+D34*E34*F34</f>
        <v>61094.25</v>
      </c>
      <c r="H34" s="21"/>
      <c r="I34" s="21"/>
      <c r="J34" s="21"/>
      <c r="K34" s="21"/>
    </row>
    <row r="35" spans="2:11" x14ac:dyDescent="0.2">
      <c r="B35" s="243" t="s">
        <v>73</v>
      </c>
      <c r="C35" s="244"/>
      <c r="D35" s="63">
        <v>4</v>
      </c>
      <c r="E35" s="63">
        <v>450</v>
      </c>
      <c r="F35" s="63">
        <f>+F33</f>
        <v>25.455937500000001</v>
      </c>
      <c r="G35" s="30">
        <f>+D35*E35*F35</f>
        <v>45820.6875</v>
      </c>
      <c r="H35" s="21"/>
      <c r="I35" s="21"/>
      <c r="J35" s="21"/>
      <c r="K35" s="21"/>
    </row>
    <row r="36" spans="2:11" x14ac:dyDescent="0.2">
      <c r="B36" s="243"/>
      <c r="C36" s="244"/>
      <c r="D36" s="63"/>
      <c r="E36" s="63"/>
      <c r="F36" s="63"/>
      <c r="G36" s="30"/>
      <c r="H36" s="21"/>
      <c r="I36" s="21"/>
      <c r="J36" s="21"/>
      <c r="K36" s="21"/>
    </row>
    <row r="37" spans="2:11" x14ac:dyDescent="0.2">
      <c r="B37" s="243"/>
      <c r="C37" s="244"/>
      <c r="D37" s="63"/>
      <c r="E37" s="63"/>
      <c r="F37" s="63"/>
      <c r="G37" s="30"/>
      <c r="H37" s="21"/>
      <c r="I37" s="21"/>
      <c r="J37" s="21"/>
      <c r="K37" s="21"/>
    </row>
    <row r="38" spans="2:11" x14ac:dyDescent="0.2">
      <c r="B38" s="258" t="s">
        <v>53</v>
      </c>
      <c r="C38" s="259"/>
      <c r="D38" s="259"/>
      <c r="E38" s="259"/>
      <c r="F38" s="259"/>
      <c r="G38" s="67">
        <f>+SUM(G33:G37)</f>
        <v>126006.890625</v>
      </c>
      <c r="H38" s="21"/>
      <c r="I38" s="21"/>
      <c r="J38" s="21"/>
      <c r="K38" s="21"/>
    </row>
    <row r="39" spans="2:11" ht="15.75" thickBot="1" x14ac:dyDescent="0.3">
      <c r="B39" s="239" t="s">
        <v>77</v>
      </c>
      <c r="C39" s="240"/>
      <c r="D39" s="240"/>
      <c r="E39" s="240"/>
      <c r="F39" s="240"/>
      <c r="G39" s="52">
        <f>+SUM(G24,G30,G38)</f>
        <v>185256.890625</v>
      </c>
      <c r="H39" s="21"/>
      <c r="I39" s="21"/>
      <c r="J39" s="21"/>
      <c r="K39" s="21"/>
    </row>
    <row r="40" spans="2:11" x14ac:dyDescent="0.2">
      <c r="B40" s="247"/>
      <c r="C40" s="248"/>
      <c r="D40" s="248"/>
      <c r="E40" s="248"/>
      <c r="F40" s="248"/>
      <c r="G40" s="34"/>
      <c r="H40" s="21"/>
      <c r="I40" s="21"/>
      <c r="J40" s="21"/>
      <c r="K40" s="21"/>
    </row>
    <row r="41" spans="2:11" x14ac:dyDescent="0.2">
      <c r="B41" s="249" t="s">
        <v>149</v>
      </c>
      <c r="C41" s="250"/>
      <c r="D41" s="250"/>
      <c r="E41" s="137">
        <v>0.01</v>
      </c>
      <c r="F41" s="80" t="s">
        <v>80</v>
      </c>
      <c r="G41" s="34">
        <f>+G39*E41</f>
        <v>1852.5689062500001</v>
      </c>
      <c r="H41" s="21"/>
      <c r="I41" s="21"/>
      <c r="J41" s="21"/>
      <c r="K41" s="21"/>
    </row>
    <row r="42" spans="2:11" x14ac:dyDescent="0.2">
      <c r="B42" s="78" t="s">
        <v>79</v>
      </c>
      <c r="C42" s="76"/>
      <c r="D42" s="58"/>
      <c r="E42" s="139">
        <v>0.12</v>
      </c>
      <c r="F42" s="80" t="s">
        <v>80</v>
      </c>
      <c r="G42" s="81">
        <f>+G39*E42</f>
        <v>22230.826874999999</v>
      </c>
      <c r="H42" s="82"/>
      <c r="I42" s="82"/>
      <c r="J42" s="82"/>
      <c r="K42" s="82"/>
    </row>
    <row r="43" spans="2:11" x14ac:dyDescent="0.2">
      <c r="B43" s="245" t="s">
        <v>81</v>
      </c>
      <c r="C43" s="246"/>
      <c r="D43" s="56"/>
      <c r="E43" s="140">
        <v>0.08</v>
      </c>
      <c r="F43" s="71" t="s">
        <v>80</v>
      </c>
      <c r="G43" s="70">
        <f>+G39*E43</f>
        <v>14820.55125</v>
      </c>
      <c r="H43" s="21"/>
      <c r="I43" s="21"/>
      <c r="J43" s="21"/>
      <c r="K43" s="21"/>
    </row>
    <row r="44" spans="2:11" ht="15" thickBot="1" x14ac:dyDescent="0.25">
      <c r="B44" s="251" t="s">
        <v>78</v>
      </c>
      <c r="C44" s="252"/>
      <c r="D44" s="57"/>
      <c r="E44" s="141">
        <v>0.05</v>
      </c>
      <c r="F44" s="72" t="s">
        <v>82</v>
      </c>
      <c r="G44" s="70">
        <f>+E44*(G39+G42+G43)</f>
        <v>11115.413437499999</v>
      </c>
      <c r="H44" s="21"/>
      <c r="I44" s="21"/>
      <c r="J44" s="21"/>
      <c r="K44" s="21"/>
    </row>
    <row r="45" spans="2:11" ht="15.75" thickBot="1" x14ac:dyDescent="0.3">
      <c r="B45" s="239" t="s">
        <v>55</v>
      </c>
      <c r="C45" s="240"/>
      <c r="D45" s="240"/>
      <c r="E45" s="240"/>
      <c r="F45" s="240"/>
      <c r="G45" s="38">
        <f>+SUM(G41:G44)</f>
        <v>50019.360468749997</v>
      </c>
      <c r="H45" s="21"/>
      <c r="I45" s="21"/>
      <c r="J45" s="21"/>
      <c r="K45" s="21"/>
    </row>
    <row r="46" spans="2:11" ht="15.75" thickBot="1" x14ac:dyDescent="0.3">
      <c r="B46" s="53"/>
      <c r="C46" s="54"/>
      <c r="D46" s="54"/>
      <c r="E46" s="54"/>
      <c r="F46" s="55"/>
      <c r="G46" s="35"/>
      <c r="H46" s="21"/>
      <c r="I46" s="21"/>
      <c r="J46" s="21"/>
      <c r="K46" s="21"/>
    </row>
    <row r="47" spans="2:11" ht="15.75" thickBot="1" x14ac:dyDescent="0.3">
      <c r="B47" s="236" t="s">
        <v>57</v>
      </c>
      <c r="C47" s="237"/>
      <c r="D47" s="237"/>
      <c r="E47" s="237"/>
      <c r="F47" s="238"/>
      <c r="G47" s="38">
        <f>+SUM(G39,G45)</f>
        <v>235276.25109375</v>
      </c>
      <c r="H47" s="21"/>
      <c r="I47" s="21"/>
      <c r="J47" s="21"/>
      <c r="K47" s="21"/>
    </row>
    <row r="48" spans="2:11" ht="15.75" thickBot="1" x14ac:dyDescent="0.3">
      <c r="B48" s="239" t="s">
        <v>56</v>
      </c>
      <c r="C48" s="240"/>
      <c r="D48" s="240"/>
      <c r="E48" s="240"/>
      <c r="F48" s="240"/>
      <c r="G48" s="38">
        <f>+G47/C11</f>
        <v>1155.3112662505064</v>
      </c>
      <c r="H48" s="21"/>
      <c r="I48" s="21"/>
      <c r="J48" s="21"/>
      <c r="K48" s="21"/>
    </row>
    <row r="49" spans="2:12" x14ac:dyDescent="0.2">
      <c r="B49" s="21"/>
      <c r="C49" s="21"/>
      <c r="D49" s="22"/>
      <c r="E49" s="22"/>
      <c r="F49" s="22"/>
      <c r="G49" s="22"/>
      <c r="H49" s="21"/>
      <c r="I49" s="21"/>
      <c r="J49" s="21"/>
      <c r="K49" s="21"/>
    </row>
    <row r="50" spans="2:12" x14ac:dyDescent="0.2">
      <c r="B50" s="21"/>
      <c r="C50" s="21"/>
      <c r="D50" s="22"/>
      <c r="E50" s="22"/>
      <c r="F50" s="22"/>
      <c r="G50" s="22"/>
      <c r="H50" s="21"/>
      <c r="I50" s="21"/>
      <c r="J50" s="21"/>
      <c r="K50" s="21"/>
    </row>
    <row r="51" spans="2:12" ht="15" thickBot="1" x14ac:dyDescent="0.25">
      <c r="B51" s="24" t="s">
        <v>58</v>
      </c>
      <c r="C51" s="21"/>
      <c r="D51" s="22"/>
      <c r="E51" s="22"/>
      <c r="F51" s="22"/>
      <c r="G51" s="22"/>
      <c r="H51" s="21"/>
      <c r="I51" s="21"/>
      <c r="J51" s="21"/>
      <c r="K51" s="21"/>
    </row>
    <row r="52" spans="2:12" ht="15.75" thickBot="1" x14ac:dyDescent="0.3">
      <c r="B52" s="36" t="s">
        <v>59</v>
      </c>
      <c r="C52" s="37" t="s">
        <v>60</v>
      </c>
      <c r="D52" s="37" t="s">
        <v>61</v>
      </c>
      <c r="E52" s="37" t="s">
        <v>62</v>
      </c>
      <c r="F52" s="37" t="s">
        <v>63</v>
      </c>
      <c r="G52" s="37" t="s">
        <v>64</v>
      </c>
      <c r="H52" s="37" t="s">
        <v>65</v>
      </c>
      <c r="I52" s="37" t="s">
        <v>66</v>
      </c>
      <c r="J52" s="37" t="s">
        <v>67</v>
      </c>
      <c r="K52" s="38" t="s">
        <v>43</v>
      </c>
    </row>
    <row r="53" spans="2:12" x14ac:dyDescent="0.2">
      <c r="B53" s="40"/>
      <c r="C53" s="41"/>
      <c r="D53" s="60"/>
      <c r="E53" s="60"/>
      <c r="F53" s="60"/>
      <c r="G53" s="60"/>
      <c r="H53" s="41"/>
      <c r="I53" s="41"/>
      <c r="J53" s="41"/>
      <c r="K53" s="43"/>
    </row>
    <row r="54" spans="2:12" ht="15" x14ac:dyDescent="0.25">
      <c r="B54" s="65">
        <f>+C6</f>
        <v>0</v>
      </c>
      <c r="C54" s="75" t="str">
        <f>+C7</f>
        <v>Architectural Works</v>
      </c>
      <c r="D54" s="60"/>
      <c r="E54" s="60"/>
      <c r="F54" s="60"/>
      <c r="G54" s="60"/>
      <c r="H54" s="41"/>
      <c r="I54" s="41"/>
      <c r="J54" s="41"/>
      <c r="K54" s="43"/>
    </row>
    <row r="55" spans="2:12" ht="15" x14ac:dyDescent="0.25">
      <c r="B55" s="65">
        <f>+C8</f>
        <v>0</v>
      </c>
      <c r="C55" s="75" t="str">
        <f>+C9</f>
        <v>Homogenous Tiles 600x600mm/units</v>
      </c>
      <c r="D55" s="60" t="s">
        <v>130</v>
      </c>
      <c r="E55" s="60" t="s">
        <v>131</v>
      </c>
      <c r="F55" s="98" t="s">
        <v>132</v>
      </c>
      <c r="G55" s="60"/>
      <c r="H55" s="41"/>
      <c r="I55" s="41"/>
      <c r="J55" s="73">
        <f>+SUM(J56:J58)</f>
        <v>203.64750000000001</v>
      </c>
      <c r="K55" s="74" t="s">
        <v>84</v>
      </c>
    </row>
    <row r="56" spans="2:12" x14ac:dyDescent="0.2">
      <c r="B56" s="62"/>
      <c r="C56" s="44" t="s">
        <v>133</v>
      </c>
      <c r="D56" s="63">
        <v>1</v>
      </c>
      <c r="E56" s="63">
        <v>3</v>
      </c>
      <c r="F56" s="63">
        <v>6.5</v>
      </c>
      <c r="G56" s="63">
        <v>1</v>
      </c>
      <c r="H56" s="44">
        <v>3</v>
      </c>
      <c r="I56" s="44">
        <v>1.05</v>
      </c>
      <c r="J56" s="44">
        <f>+D56*E56*F56*G56*H56*I56</f>
        <v>61.425000000000004</v>
      </c>
      <c r="K56" s="45" t="s">
        <v>84</v>
      </c>
      <c r="L56" s="99"/>
    </row>
    <row r="57" spans="2:12" x14ac:dyDescent="0.2">
      <c r="B57" s="83"/>
      <c r="C57" s="44" t="s">
        <v>134</v>
      </c>
      <c r="D57" s="63">
        <v>1</v>
      </c>
      <c r="E57" s="63">
        <v>3</v>
      </c>
      <c r="F57" s="63">
        <v>6.5</v>
      </c>
      <c r="G57" s="63">
        <v>1</v>
      </c>
      <c r="H57" s="44">
        <v>3</v>
      </c>
      <c r="I57" s="44">
        <v>1.05</v>
      </c>
      <c r="J57" s="44">
        <f t="shared" ref="J57:J62" si="0">+D57*E57*F57*G57*H57*I57</f>
        <v>61.425000000000004</v>
      </c>
      <c r="K57" s="45" t="s">
        <v>84</v>
      </c>
    </row>
    <row r="58" spans="2:12" x14ac:dyDescent="0.2">
      <c r="B58" s="83"/>
      <c r="C58" s="44" t="s">
        <v>135</v>
      </c>
      <c r="D58" s="85">
        <v>1</v>
      </c>
      <c r="E58" s="85">
        <v>3</v>
      </c>
      <c r="F58" s="85">
        <f>4.21+4.34</f>
        <v>8.5500000000000007</v>
      </c>
      <c r="G58" s="85">
        <v>1</v>
      </c>
      <c r="H58" s="84">
        <v>3</v>
      </c>
      <c r="I58" s="44">
        <v>1.05</v>
      </c>
      <c r="J58" s="44">
        <f t="shared" si="0"/>
        <v>80.797499999999999</v>
      </c>
      <c r="K58" s="45" t="s">
        <v>84</v>
      </c>
    </row>
    <row r="59" spans="2:12" x14ac:dyDescent="0.2">
      <c r="B59" s="83"/>
      <c r="C59" s="84"/>
      <c r="D59" s="85"/>
      <c r="E59" s="85"/>
      <c r="F59" s="85"/>
      <c r="G59" s="85"/>
      <c r="H59" s="84"/>
      <c r="I59" s="44"/>
      <c r="J59" s="44">
        <f t="shared" si="0"/>
        <v>0</v>
      </c>
      <c r="K59" s="86"/>
    </row>
    <row r="60" spans="2:12" ht="15" x14ac:dyDescent="0.25">
      <c r="B60" s="83"/>
      <c r="C60" s="84" t="s">
        <v>140</v>
      </c>
      <c r="D60" s="103" t="s">
        <v>139</v>
      </c>
      <c r="E60" s="3"/>
      <c r="F60" s="85"/>
      <c r="G60" s="85"/>
      <c r="H60" s="84"/>
      <c r="I60" s="44"/>
      <c r="J60" s="105">
        <f>+SUM(J61:J63)</f>
        <v>64.650000000000006</v>
      </c>
      <c r="K60" s="102" t="s">
        <v>94</v>
      </c>
    </row>
    <row r="61" spans="2:12" x14ac:dyDescent="0.2">
      <c r="B61" s="83"/>
      <c r="C61" s="44" t="s">
        <v>133</v>
      </c>
      <c r="D61" s="85">
        <v>1</v>
      </c>
      <c r="E61" s="85">
        <v>3</v>
      </c>
      <c r="F61" s="63">
        <v>6.5</v>
      </c>
      <c r="G61" s="85">
        <v>1</v>
      </c>
      <c r="H61" s="84">
        <v>1</v>
      </c>
      <c r="I61" s="44">
        <v>1</v>
      </c>
      <c r="J61" s="44">
        <f t="shared" si="0"/>
        <v>19.5</v>
      </c>
      <c r="K61" s="86" t="s">
        <v>94</v>
      </c>
    </row>
    <row r="62" spans="2:12" x14ac:dyDescent="0.2">
      <c r="B62" s="83"/>
      <c r="C62" s="44" t="s">
        <v>134</v>
      </c>
      <c r="D62" s="85">
        <v>1</v>
      </c>
      <c r="E62" s="85">
        <v>3</v>
      </c>
      <c r="F62" s="63">
        <v>6.5</v>
      </c>
      <c r="G62" s="85">
        <v>1</v>
      </c>
      <c r="H62" s="84">
        <v>1</v>
      </c>
      <c r="I62" s="44">
        <v>1</v>
      </c>
      <c r="J62" s="44">
        <f t="shared" si="0"/>
        <v>19.5</v>
      </c>
      <c r="K62" s="86" t="s">
        <v>94</v>
      </c>
    </row>
    <row r="63" spans="2:12" x14ac:dyDescent="0.2">
      <c r="B63" s="83"/>
      <c r="C63" s="44" t="s">
        <v>135</v>
      </c>
      <c r="D63" s="85">
        <v>1</v>
      </c>
      <c r="E63" s="85">
        <v>3</v>
      </c>
      <c r="F63" s="85">
        <f>4.21+4.34</f>
        <v>8.5500000000000007</v>
      </c>
      <c r="G63" s="85">
        <v>1</v>
      </c>
      <c r="H63" s="84">
        <v>1</v>
      </c>
      <c r="I63" s="44">
        <v>1</v>
      </c>
      <c r="J63" s="44">
        <f>+D63*E63*F63*G63*H63*I63</f>
        <v>25.650000000000002</v>
      </c>
      <c r="K63" s="86" t="s">
        <v>94</v>
      </c>
    </row>
    <row r="64" spans="2:12" ht="15" x14ac:dyDescent="0.25">
      <c r="B64" s="83"/>
      <c r="C64" s="84"/>
      <c r="D64" s="85"/>
      <c r="E64" s="85"/>
      <c r="F64" s="85"/>
      <c r="G64" s="85"/>
      <c r="H64" s="84"/>
      <c r="I64" s="84"/>
      <c r="J64" s="106"/>
      <c r="K64" s="86"/>
    </row>
    <row r="65" spans="2:11" x14ac:dyDescent="0.2">
      <c r="B65" s="83"/>
      <c r="C65" s="84"/>
      <c r="D65" s="85"/>
      <c r="E65" s="85"/>
      <c r="F65" s="85"/>
      <c r="G65" s="85"/>
      <c r="H65" s="84"/>
      <c r="I65" s="107" t="s">
        <v>142</v>
      </c>
      <c r="J65" s="84">
        <f>+J60*0.012*0.15*(3/0.2032)</f>
        <v>1.7180610236220473</v>
      </c>
      <c r="K65" s="86" t="s">
        <v>95</v>
      </c>
    </row>
    <row r="66" spans="2:11" x14ac:dyDescent="0.2">
      <c r="B66" s="83"/>
      <c r="C66" s="84"/>
      <c r="D66" s="85"/>
      <c r="E66" s="85"/>
      <c r="F66" s="85"/>
      <c r="G66" s="85"/>
      <c r="H66" s="84"/>
      <c r="I66" s="107" t="s">
        <v>143</v>
      </c>
      <c r="J66" s="84">
        <f>0.05*0.075*0.2*4*D17</f>
        <v>7.4009999999999998</v>
      </c>
      <c r="K66" s="86" t="s">
        <v>95</v>
      </c>
    </row>
    <row r="67" spans="2:11" ht="15" x14ac:dyDescent="0.25">
      <c r="B67" s="83"/>
      <c r="C67" s="84"/>
      <c r="D67" s="85"/>
      <c r="E67" s="85"/>
      <c r="F67" s="85"/>
      <c r="G67" s="85"/>
      <c r="H67" s="84"/>
      <c r="I67" s="84" t="s">
        <v>144</v>
      </c>
      <c r="J67" s="106">
        <f>+SUM(J65:J66)</f>
        <v>9.1190610236220468</v>
      </c>
      <c r="K67" s="102" t="s">
        <v>95</v>
      </c>
    </row>
    <row r="68" spans="2:11" ht="15" x14ac:dyDescent="0.25">
      <c r="B68" s="83"/>
      <c r="C68" s="84"/>
      <c r="D68" s="85"/>
      <c r="E68" s="85"/>
      <c r="F68" s="85"/>
      <c r="G68" s="85"/>
      <c r="H68" s="84"/>
      <c r="I68" s="84"/>
      <c r="J68" s="84"/>
      <c r="K68" s="102"/>
    </row>
    <row r="69" spans="2:11" ht="13.15" customHeight="1" thickBot="1" x14ac:dyDescent="0.25">
      <c r="B69" s="46"/>
      <c r="C69" s="47"/>
      <c r="D69" s="48"/>
      <c r="E69" s="48"/>
      <c r="F69" s="48"/>
      <c r="G69" s="48"/>
      <c r="H69" s="47"/>
      <c r="I69" s="47"/>
      <c r="J69" s="47"/>
      <c r="K69" s="49"/>
    </row>
  </sheetData>
  <mergeCells count="32">
    <mergeCell ref="B15:G15"/>
    <mergeCell ref="B16:C16"/>
    <mergeCell ref="B18:C18"/>
    <mergeCell ref="B19:C19"/>
    <mergeCell ref="B34:C34"/>
    <mergeCell ref="B17:C17"/>
    <mergeCell ref="B21:C21"/>
    <mergeCell ref="B32:C32"/>
    <mergeCell ref="B33:C33"/>
    <mergeCell ref="B26:C26"/>
    <mergeCell ref="B20:C20"/>
    <mergeCell ref="B22:C22"/>
    <mergeCell ref="B23:C23"/>
    <mergeCell ref="B24:F24"/>
    <mergeCell ref="B25:G25"/>
    <mergeCell ref="B48:F48"/>
    <mergeCell ref="B45:F45"/>
    <mergeCell ref="B47:F47"/>
    <mergeCell ref="B38:F38"/>
    <mergeCell ref="B39:F39"/>
    <mergeCell ref="B40:F40"/>
    <mergeCell ref="B43:C43"/>
    <mergeCell ref="B44:C44"/>
    <mergeCell ref="B41:D41"/>
    <mergeCell ref="B35:C35"/>
    <mergeCell ref="B36:C36"/>
    <mergeCell ref="B37:C37"/>
    <mergeCell ref="B27:C27"/>
    <mergeCell ref="B28:C28"/>
    <mergeCell ref="B29:C29"/>
    <mergeCell ref="B30:F30"/>
    <mergeCell ref="B31:G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66"/>
  <sheetViews>
    <sheetView topLeftCell="A43" workbookViewId="0">
      <selection activeCell="E62" sqref="E62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7.42578125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+BOQ!B68</f>
        <v>0</v>
      </c>
    </row>
    <row r="7" spans="2:11" ht="15" x14ac:dyDescent="0.25">
      <c r="B7" s="7" t="s">
        <v>48</v>
      </c>
      <c r="C7" s="19" t="str">
        <f>+BOQ!C68</f>
        <v>Architectural Works</v>
      </c>
    </row>
    <row r="8" spans="2:11" ht="15" x14ac:dyDescent="0.25">
      <c r="B8" s="7" t="s">
        <v>47</v>
      </c>
      <c r="C8" s="19">
        <f>+BOQ!B71</f>
        <v>0</v>
      </c>
    </row>
    <row r="9" spans="2:11" ht="15" x14ac:dyDescent="0.25">
      <c r="B9" s="7" t="s">
        <v>49</v>
      </c>
      <c r="C9" s="19" t="str">
        <f>+BOQ!C71</f>
        <v>Non-slip Tiles Roofdeck and Bath</v>
      </c>
    </row>
    <row r="10" spans="2:11" x14ac:dyDescent="0.2">
      <c r="B10" s="7"/>
    </row>
    <row r="11" spans="2:11" x14ac:dyDescent="0.2">
      <c r="B11" s="21" t="s">
        <v>45</v>
      </c>
      <c r="C11" s="76">
        <f>+J56</f>
        <v>269.32499999999999</v>
      </c>
      <c r="D11" s="21" t="s">
        <v>44</v>
      </c>
      <c r="E11" s="77" t="str">
        <f>+K56</f>
        <v>sq.m.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93" t="s">
        <v>4</v>
      </c>
      <c r="E16" s="93" t="s">
        <v>5</v>
      </c>
      <c r="F16" s="93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70" t="s">
        <v>137</v>
      </c>
      <c r="C17" s="271"/>
      <c r="D17" s="94">
        <f>+ROUNDUP(J56/(0.2032*0.4064),0)</f>
        <v>3262</v>
      </c>
      <c r="E17" s="100" t="s">
        <v>141</v>
      </c>
      <c r="F17" s="95">
        <v>25</v>
      </c>
      <c r="G17" s="104">
        <f>+D17*F17</f>
        <v>81550</v>
      </c>
    </row>
    <row r="18" spans="2:11" x14ac:dyDescent="0.2">
      <c r="B18" s="275" t="s">
        <v>138</v>
      </c>
      <c r="C18" s="276"/>
      <c r="D18" s="90"/>
      <c r="E18" s="100"/>
      <c r="F18" s="95"/>
      <c r="G18" s="101"/>
    </row>
    <row r="19" spans="2:11" x14ac:dyDescent="0.2">
      <c r="B19" s="243" t="s">
        <v>136</v>
      </c>
      <c r="C19" s="244"/>
      <c r="D19" s="94">
        <f>+ROUNDUP(J64*12*1.05,0)</f>
        <v>145</v>
      </c>
      <c r="E19" s="94" t="s">
        <v>118</v>
      </c>
      <c r="F19" s="94">
        <v>290</v>
      </c>
      <c r="G19" s="30">
        <f>+D19*F19</f>
        <v>42050</v>
      </c>
      <c r="H19" s="21"/>
      <c r="I19" s="21"/>
      <c r="J19" s="21"/>
      <c r="K19" s="21"/>
    </row>
    <row r="20" spans="2:11" x14ac:dyDescent="0.2">
      <c r="B20" s="268" t="s">
        <v>99</v>
      </c>
      <c r="C20" s="269"/>
      <c r="D20" s="94">
        <f>+ROUNDUP(J64*1.03,0)</f>
        <v>12</v>
      </c>
      <c r="E20" s="94" t="s">
        <v>95</v>
      </c>
      <c r="F20" s="94">
        <v>2100</v>
      </c>
      <c r="G20" s="30">
        <f>+D20*F20</f>
        <v>25200</v>
      </c>
      <c r="H20" s="21"/>
      <c r="I20" s="21"/>
      <c r="J20" s="21"/>
      <c r="K20" s="21"/>
    </row>
    <row r="21" spans="2:11" x14ac:dyDescent="0.2">
      <c r="B21" s="264" t="s">
        <v>101</v>
      </c>
      <c r="C21" s="265"/>
      <c r="D21" s="94">
        <f>+J64*0.25</f>
        <v>2.8630600393700787</v>
      </c>
      <c r="E21" s="94" t="s">
        <v>95</v>
      </c>
      <c r="F21" s="94">
        <v>0</v>
      </c>
      <c r="G21" s="30">
        <f>+D21*F21</f>
        <v>0</v>
      </c>
      <c r="H21" s="21"/>
      <c r="I21" s="21"/>
      <c r="J21" s="21"/>
      <c r="K21" s="21"/>
    </row>
    <row r="22" spans="2:11" x14ac:dyDescent="0.2">
      <c r="B22" s="264"/>
      <c r="C22" s="265"/>
      <c r="D22" s="94"/>
      <c r="E22" s="94"/>
      <c r="F22" s="94"/>
      <c r="G22" s="30"/>
      <c r="H22" s="21"/>
      <c r="I22" s="21"/>
      <c r="J22" s="21"/>
      <c r="K22" s="21"/>
    </row>
    <row r="23" spans="2:11" x14ac:dyDescent="0.2">
      <c r="B23" s="264" t="s">
        <v>96</v>
      </c>
      <c r="C23" s="265"/>
      <c r="D23" s="94">
        <v>1</v>
      </c>
      <c r="E23" s="94" t="s">
        <v>97</v>
      </c>
      <c r="F23" s="94">
        <v>2000</v>
      </c>
      <c r="G23" s="30">
        <f>+D23*F23</f>
        <v>2000</v>
      </c>
      <c r="H23" s="21"/>
      <c r="I23" s="21"/>
      <c r="J23" s="21"/>
      <c r="K23" s="21"/>
    </row>
    <row r="24" spans="2:11" x14ac:dyDescent="0.2">
      <c r="B24" s="243"/>
      <c r="C24" s="244"/>
      <c r="D24" s="94"/>
      <c r="E24" s="94"/>
      <c r="F24" s="94"/>
      <c r="G24" s="30"/>
      <c r="H24" s="21"/>
      <c r="I24" s="21"/>
      <c r="J24" s="21"/>
      <c r="K24" s="21"/>
    </row>
    <row r="25" spans="2:11" ht="15" thickBot="1" x14ac:dyDescent="0.25">
      <c r="B25" s="253" t="s">
        <v>51</v>
      </c>
      <c r="C25" s="254"/>
      <c r="D25" s="254"/>
      <c r="E25" s="254"/>
      <c r="F25" s="254"/>
      <c r="G25" s="68">
        <f>+SUM(G19:G24)</f>
        <v>69250</v>
      </c>
      <c r="H25" s="21"/>
      <c r="I25" s="21"/>
      <c r="J25" s="21"/>
      <c r="K25" s="21"/>
    </row>
    <row r="26" spans="2:11" ht="15" thickBot="1" x14ac:dyDescent="0.25">
      <c r="B26" s="272" t="s">
        <v>75</v>
      </c>
      <c r="C26" s="273"/>
      <c r="D26" s="273"/>
      <c r="E26" s="273"/>
      <c r="F26" s="273"/>
      <c r="G26" s="274"/>
      <c r="H26" s="21"/>
      <c r="I26" s="21"/>
      <c r="J26" s="21"/>
      <c r="K26" s="21"/>
    </row>
    <row r="27" spans="2:11" ht="15" x14ac:dyDescent="0.2">
      <c r="B27" s="266" t="s">
        <v>2</v>
      </c>
      <c r="C27" s="267"/>
      <c r="D27" s="91" t="s">
        <v>3</v>
      </c>
      <c r="E27" s="91" t="s">
        <v>68</v>
      </c>
      <c r="F27" s="91" t="s">
        <v>69</v>
      </c>
      <c r="G27" s="51" t="s">
        <v>7</v>
      </c>
      <c r="H27" s="33"/>
      <c r="I27" s="33"/>
      <c r="J27" s="33"/>
      <c r="K27" s="33"/>
    </row>
    <row r="28" spans="2:11" x14ac:dyDescent="0.2">
      <c r="B28" s="264" t="s">
        <v>71</v>
      </c>
      <c r="C28" s="265"/>
      <c r="D28" s="94">
        <v>1</v>
      </c>
      <c r="E28" s="94">
        <v>2000</v>
      </c>
      <c r="F28" s="94">
        <v>1</v>
      </c>
      <c r="G28" s="30">
        <f>+D28*E28*F28</f>
        <v>2000</v>
      </c>
      <c r="H28" s="21"/>
      <c r="I28" s="21"/>
      <c r="J28" s="21"/>
      <c r="K28" s="21"/>
    </row>
    <row r="29" spans="2:11" x14ac:dyDescent="0.2">
      <c r="B29" s="243" t="s">
        <v>89</v>
      </c>
      <c r="C29" s="244"/>
      <c r="D29" s="94">
        <v>2</v>
      </c>
      <c r="E29" s="94">
        <v>200</v>
      </c>
      <c r="F29" s="94">
        <v>1.93</v>
      </c>
      <c r="G29" s="30">
        <f>+D29*E29*F29</f>
        <v>772</v>
      </c>
      <c r="H29" s="21"/>
      <c r="I29" s="21"/>
      <c r="J29" s="21"/>
      <c r="K29" s="21"/>
    </row>
    <row r="30" spans="2:11" x14ac:dyDescent="0.2">
      <c r="B30" s="243"/>
      <c r="C30" s="244"/>
      <c r="D30" s="94"/>
      <c r="E30" s="94"/>
      <c r="F30" s="94"/>
      <c r="G30" s="30"/>
      <c r="H30" s="21"/>
      <c r="I30" s="21"/>
      <c r="J30" s="21"/>
      <c r="K30" s="21"/>
    </row>
    <row r="31" spans="2:11" ht="15" thickBot="1" x14ac:dyDescent="0.25">
      <c r="B31" s="253" t="s">
        <v>52</v>
      </c>
      <c r="C31" s="254"/>
      <c r="D31" s="254"/>
      <c r="E31" s="254"/>
      <c r="F31" s="254"/>
      <c r="G31" s="68">
        <f>+SUM(G28:G30)</f>
        <v>2772</v>
      </c>
      <c r="H31" s="21"/>
      <c r="I31" s="21"/>
      <c r="J31" s="21"/>
      <c r="K31" s="21"/>
    </row>
    <row r="32" spans="2:11" ht="15" thickBot="1" x14ac:dyDescent="0.25">
      <c r="B32" s="255" t="s">
        <v>76</v>
      </c>
      <c r="C32" s="256"/>
      <c r="D32" s="256"/>
      <c r="E32" s="256"/>
      <c r="F32" s="256"/>
      <c r="G32" s="257"/>
      <c r="H32" s="21"/>
      <c r="I32" s="21"/>
      <c r="J32" s="21"/>
      <c r="K32" s="21"/>
    </row>
    <row r="33" spans="2:11" ht="15" x14ac:dyDescent="0.2">
      <c r="B33" s="241" t="s">
        <v>2</v>
      </c>
      <c r="C33" s="242"/>
      <c r="D33" s="97" t="s">
        <v>3</v>
      </c>
      <c r="E33" s="97" t="s">
        <v>68</v>
      </c>
      <c r="F33" s="97" t="s">
        <v>69</v>
      </c>
      <c r="G33" s="32" t="s">
        <v>7</v>
      </c>
      <c r="H33" s="21"/>
      <c r="I33" s="21"/>
      <c r="J33" s="21"/>
      <c r="K33" s="21"/>
    </row>
    <row r="34" spans="2:11" x14ac:dyDescent="0.2">
      <c r="B34" s="243" t="s">
        <v>72</v>
      </c>
      <c r="C34" s="244"/>
      <c r="D34" s="94">
        <v>1</v>
      </c>
      <c r="E34" s="94">
        <v>750</v>
      </c>
      <c r="F34" s="94">
        <f>+C11/9.5</f>
        <v>28.349999999999998</v>
      </c>
      <c r="G34" s="30">
        <f>+D34*E34*F34</f>
        <v>21262.5</v>
      </c>
      <c r="H34" s="21"/>
      <c r="I34" s="21"/>
      <c r="J34" s="21"/>
      <c r="K34" s="21"/>
    </row>
    <row r="35" spans="2:11" x14ac:dyDescent="0.2">
      <c r="B35" s="264" t="s">
        <v>122</v>
      </c>
      <c r="C35" s="265"/>
      <c r="D35" s="94">
        <v>4</v>
      </c>
      <c r="E35" s="94">
        <v>600</v>
      </c>
      <c r="F35" s="94">
        <f>+F34</f>
        <v>28.349999999999998</v>
      </c>
      <c r="G35" s="30">
        <f>+D35*E35*F35</f>
        <v>68040</v>
      </c>
      <c r="H35" s="21"/>
      <c r="I35" s="21"/>
      <c r="J35" s="21"/>
      <c r="K35" s="21"/>
    </row>
    <row r="36" spans="2:11" x14ac:dyDescent="0.2">
      <c r="B36" s="243" t="s">
        <v>73</v>
      </c>
      <c r="C36" s="244"/>
      <c r="D36" s="94">
        <v>4</v>
      </c>
      <c r="E36" s="94">
        <v>450</v>
      </c>
      <c r="F36" s="94">
        <f>+F34</f>
        <v>28.349999999999998</v>
      </c>
      <c r="G36" s="30">
        <f>+D36*E36*F36</f>
        <v>51029.999999999993</v>
      </c>
      <c r="H36" s="21"/>
      <c r="I36" s="21"/>
      <c r="J36" s="21"/>
      <c r="K36" s="21"/>
    </row>
    <row r="37" spans="2:11" x14ac:dyDescent="0.2">
      <c r="B37" s="243"/>
      <c r="C37" s="244"/>
      <c r="D37" s="94"/>
      <c r="E37" s="94"/>
      <c r="F37" s="94"/>
      <c r="G37" s="30"/>
      <c r="H37" s="21"/>
      <c r="I37" s="21"/>
      <c r="J37" s="21"/>
      <c r="K37" s="21"/>
    </row>
    <row r="38" spans="2:11" x14ac:dyDescent="0.2">
      <c r="B38" s="243"/>
      <c r="C38" s="244"/>
      <c r="D38" s="94"/>
      <c r="E38" s="94"/>
      <c r="F38" s="94"/>
      <c r="G38" s="30"/>
      <c r="H38" s="21"/>
      <c r="I38" s="21"/>
      <c r="J38" s="21"/>
      <c r="K38" s="21"/>
    </row>
    <row r="39" spans="2:11" ht="15" thickBot="1" x14ac:dyDescent="0.25">
      <c r="B39" s="258" t="s">
        <v>53</v>
      </c>
      <c r="C39" s="259"/>
      <c r="D39" s="259"/>
      <c r="E39" s="259"/>
      <c r="F39" s="259"/>
      <c r="G39" s="67">
        <f>+SUM(G34:G38)</f>
        <v>140332.5</v>
      </c>
      <c r="H39" s="21"/>
      <c r="I39" s="21"/>
      <c r="J39" s="21"/>
      <c r="K39" s="21"/>
    </row>
    <row r="40" spans="2:11" ht="15.75" thickBot="1" x14ac:dyDescent="0.3">
      <c r="B40" s="239" t="s">
        <v>77</v>
      </c>
      <c r="C40" s="240"/>
      <c r="D40" s="240"/>
      <c r="E40" s="240"/>
      <c r="F40" s="240"/>
      <c r="G40" s="52">
        <f>+SUM(G25,G31,G39)</f>
        <v>212354.5</v>
      </c>
      <c r="H40" s="21"/>
      <c r="I40" s="21"/>
      <c r="J40" s="21"/>
      <c r="K40" s="21"/>
    </row>
    <row r="41" spans="2:11" x14ac:dyDescent="0.2">
      <c r="B41" s="247"/>
      <c r="C41" s="248"/>
      <c r="D41" s="248"/>
      <c r="E41" s="248"/>
      <c r="F41" s="248"/>
      <c r="G41" s="34"/>
      <c r="H41" s="21"/>
      <c r="I41" s="21"/>
      <c r="J41" s="21"/>
      <c r="K41" s="21"/>
    </row>
    <row r="42" spans="2:11" x14ac:dyDescent="0.2">
      <c r="B42" s="249" t="s">
        <v>149</v>
      </c>
      <c r="C42" s="250"/>
      <c r="D42" s="250"/>
      <c r="E42" s="137">
        <v>0.01</v>
      </c>
      <c r="F42" s="80" t="s">
        <v>80</v>
      </c>
      <c r="G42" s="34">
        <f>+G40*E42</f>
        <v>2123.5450000000001</v>
      </c>
      <c r="H42" s="21"/>
      <c r="I42" s="21"/>
      <c r="J42" s="21"/>
      <c r="K42" s="21"/>
    </row>
    <row r="43" spans="2:11" x14ac:dyDescent="0.2">
      <c r="B43" s="78" t="s">
        <v>79</v>
      </c>
      <c r="C43" s="76"/>
      <c r="D43" s="58"/>
      <c r="E43" s="139">
        <v>0.12</v>
      </c>
      <c r="F43" s="80" t="s">
        <v>80</v>
      </c>
      <c r="G43" s="81">
        <f>+G40*E43</f>
        <v>25482.54</v>
      </c>
      <c r="H43" s="82"/>
      <c r="I43" s="82"/>
      <c r="J43" s="82"/>
      <c r="K43" s="82"/>
    </row>
    <row r="44" spans="2:11" x14ac:dyDescent="0.2">
      <c r="B44" s="245" t="s">
        <v>81</v>
      </c>
      <c r="C44" s="246"/>
      <c r="D44" s="56"/>
      <c r="E44" s="140">
        <v>0.08</v>
      </c>
      <c r="F44" s="71" t="s">
        <v>80</v>
      </c>
      <c r="G44" s="70">
        <f>+G40*E44</f>
        <v>16988.36</v>
      </c>
      <c r="H44" s="21"/>
      <c r="I44" s="21"/>
      <c r="J44" s="21"/>
      <c r="K44" s="21"/>
    </row>
    <row r="45" spans="2:11" ht="15" thickBot="1" x14ac:dyDescent="0.25">
      <c r="B45" s="251" t="s">
        <v>78</v>
      </c>
      <c r="C45" s="252"/>
      <c r="D45" s="57"/>
      <c r="E45" s="141">
        <v>0.05</v>
      </c>
      <c r="F45" s="72" t="s">
        <v>82</v>
      </c>
      <c r="G45" s="70">
        <f>+E45*(G40+G43+G44)</f>
        <v>12741.270000000002</v>
      </c>
      <c r="H45" s="21"/>
      <c r="I45" s="21"/>
      <c r="J45" s="21"/>
      <c r="K45" s="21"/>
    </row>
    <row r="46" spans="2:11" ht="15.75" thickBot="1" x14ac:dyDescent="0.3">
      <c r="B46" s="239" t="s">
        <v>55</v>
      </c>
      <c r="C46" s="240"/>
      <c r="D46" s="240"/>
      <c r="E46" s="240"/>
      <c r="F46" s="240"/>
      <c r="G46" s="38">
        <f>+SUM(G42:G45)</f>
        <v>57335.715000000004</v>
      </c>
      <c r="H46" s="21"/>
      <c r="I46" s="21"/>
      <c r="J46" s="21"/>
      <c r="K46" s="21"/>
    </row>
    <row r="47" spans="2:11" ht="15.75" thickBot="1" x14ac:dyDescent="0.3">
      <c r="B47" s="53"/>
      <c r="C47" s="54"/>
      <c r="D47" s="54"/>
      <c r="E47" s="54"/>
      <c r="F47" s="55"/>
      <c r="G47" s="35"/>
      <c r="H47" s="21"/>
      <c r="I47" s="21"/>
      <c r="J47" s="21"/>
      <c r="K47" s="21"/>
    </row>
    <row r="48" spans="2:11" ht="15.75" thickBot="1" x14ac:dyDescent="0.3">
      <c r="B48" s="236" t="s">
        <v>57</v>
      </c>
      <c r="C48" s="237"/>
      <c r="D48" s="237"/>
      <c r="E48" s="237"/>
      <c r="F48" s="238"/>
      <c r="G48" s="38">
        <f>+SUM(G40,G46)</f>
        <v>269690.21500000003</v>
      </c>
      <c r="H48" s="21"/>
      <c r="I48" s="21"/>
      <c r="J48" s="21"/>
      <c r="K48" s="21"/>
    </row>
    <row r="49" spans="2:11" ht="15.75" thickBot="1" x14ac:dyDescent="0.3">
      <c r="B49" s="239" t="s">
        <v>56</v>
      </c>
      <c r="C49" s="240"/>
      <c r="D49" s="240"/>
      <c r="E49" s="240"/>
      <c r="F49" s="240"/>
      <c r="G49" s="38">
        <f>+G48/C11</f>
        <v>1001.3560382437577</v>
      </c>
      <c r="H49" s="21">
        <f>+V.1!G48</f>
        <v>1155.3112662505064</v>
      </c>
      <c r="I49" s="21">
        <f>+G49-H49</f>
        <v>-153.95522800674871</v>
      </c>
      <c r="J49" s="21"/>
      <c r="K49" s="21"/>
    </row>
    <row r="50" spans="2:11" x14ac:dyDescent="0.2">
      <c r="B50" s="21"/>
      <c r="C50" s="21"/>
      <c r="D50" s="22"/>
      <c r="E50" s="22"/>
      <c r="F50" s="22"/>
      <c r="G50" s="22"/>
      <c r="H50" s="21"/>
      <c r="I50" s="21"/>
      <c r="J50" s="21"/>
      <c r="K50" s="21"/>
    </row>
    <row r="51" spans="2:11" x14ac:dyDescent="0.2">
      <c r="B51" s="21"/>
      <c r="C51" s="21"/>
      <c r="D51" s="22"/>
      <c r="E51" s="22"/>
      <c r="F51" s="22"/>
      <c r="G51" s="22"/>
      <c r="H51" s="21"/>
      <c r="I51" s="21"/>
      <c r="J51" s="21"/>
      <c r="K51" s="21"/>
    </row>
    <row r="52" spans="2:11" ht="15" thickBot="1" x14ac:dyDescent="0.25">
      <c r="B52" s="24" t="s">
        <v>58</v>
      </c>
      <c r="C52" s="21"/>
      <c r="D52" s="22"/>
      <c r="E52" s="22"/>
      <c r="F52" s="22"/>
      <c r="G52" s="22"/>
      <c r="H52" s="21"/>
      <c r="I52" s="21"/>
      <c r="J52" s="21"/>
      <c r="K52" s="21"/>
    </row>
    <row r="53" spans="2:11" ht="15.75" thickBot="1" x14ac:dyDescent="0.3">
      <c r="B53" s="36" t="s">
        <v>59</v>
      </c>
      <c r="C53" s="37" t="s">
        <v>60</v>
      </c>
      <c r="D53" s="37" t="s">
        <v>61</v>
      </c>
      <c r="E53" s="37" t="s">
        <v>62</v>
      </c>
      <c r="F53" s="37" t="s">
        <v>63</v>
      </c>
      <c r="G53" s="37" t="s">
        <v>64</v>
      </c>
      <c r="H53" s="37" t="s">
        <v>65</v>
      </c>
      <c r="I53" s="37" t="s">
        <v>66</v>
      </c>
      <c r="J53" s="37" t="s">
        <v>67</v>
      </c>
      <c r="K53" s="38" t="s">
        <v>43</v>
      </c>
    </row>
    <row r="54" spans="2:11" x14ac:dyDescent="0.2">
      <c r="B54" s="40"/>
      <c r="C54" s="41"/>
      <c r="D54" s="96"/>
      <c r="E54" s="96"/>
      <c r="F54" s="96"/>
      <c r="G54" s="96"/>
      <c r="H54" s="41"/>
      <c r="I54" s="41"/>
      <c r="J54" s="41"/>
      <c r="K54" s="43"/>
    </row>
    <row r="55" spans="2:11" ht="15" x14ac:dyDescent="0.25">
      <c r="B55" s="92">
        <f>+C6</f>
        <v>0</v>
      </c>
      <c r="C55" s="75" t="str">
        <f>+C7</f>
        <v>Architectural Works</v>
      </c>
      <c r="D55" s="96"/>
      <c r="E55" s="96"/>
      <c r="F55" s="96"/>
      <c r="G55" s="96"/>
      <c r="H55" s="41"/>
      <c r="I55" s="41"/>
      <c r="J55" s="41"/>
      <c r="K55" s="43"/>
    </row>
    <row r="56" spans="2:11" ht="16.149999999999999" customHeight="1" x14ac:dyDescent="0.25">
      <c r="B56" s="92">
        <f>+C8</f>
        <v>0</v>
      </c>
      <c r="C56" s="75" t="str">
        <f>+C9</f>
        <v>Non-slip Tiles Roofdeck and Bath</v>
      </c>
      <c r="D56" s="96" t="s">
        <v>130</v>
      </c>
      <c r="E56" s="96" t="s">
        <v>131</v>
      </c>
      <c r="F56" s="98" t="s">
        <v>132</v>
      </c>
      <c r="G56" s="96"/>
      <c r="H56" s="41"/>
      <c r="I56" s="41"/>
      <c r="J56" s="73">
        <f>+SUM(J57:J57)</f>
        <v>269.32499999999999</v>
      </c>
      <c r="K56" s="74" t="s">
        <v>84</v>
      </c>
    </row>
    <row r="57" spans="2:11" x14ac:dyDescent="0.2">
      <c r="B57" s="83"/>
      <c r="C57" s="44" t="s">
        <v>145</v>
      </c>
      <c r="D57" s="85">
        <v>1</v>
      </c>
      <c r="E57" s="85">
        <v>10</v>
      </c>
      <c r="F57" s="85">
        <f>4.21+4.34</f>
        <v>8.5500000000000007</v>
      </c>
      <c r="G57" s="85">
        <v>1</v>
      </c>
      <c r="H57" s="84">
        <v>3</v>
      </c>
      <c r="I57" s="44">
        <v>1.05</v>
      </c>
      <c r="J57" s="44">
        <f>+D57*E57*F57*G57*H57*I57</f>
        <v>269.32499999999999</v>
      </c>
      <c r="K57" s="45" t="s">
        <v>84</v>
      </c>
    </row>
    <row r="58" spans="2:11" x14ac:dyDescent="0.2">
      <c r="B58" s="83"/>
      <c r="C58" s="84"/>
      <c r="D58" s="85"/>
      <c r="E58" s="85"/>
      <c r="F58" s="85"/>
      <c r="G58" s="85"/>
      <c r="H58" s="84"/>
      <c r="I58" s="44"/>
      <c r="J58" s="44">
        <f>+D58*E58*F58*G58*H58*I58</f>
        <v>0</v>
      </c>
      <c r="K58" s="86"/>
    </row>
    <row r="59" spans="2:11" ht="15" x14ac:dyDescent="0.25">
      <c r="B59" s="83"/>
      <c r="C59" s="84" t="s">
        <v>140</v>
      </c>
      <c r="D59" s="103" t="s">
        <v>139</v>
      </c>
      <c r="E59" s="3"/>
      <c r="F59" s="85"/>
      <c r="G59" s="85"/>
      <c r="H59" s="84"/>
      <c r="I59" s="44"/>
      <c r="J59" s="105">
        <f>+SUM(J60:J60)</f>
        <v>85.5</v>
      </c>
      <c r="K59" s="102" t="s">
        <v>94</v>
      </c>
    </row>
    <row r="60" spans="2:11" x14ac:dyDescent="0.2">
      <c r="B60" s="83"/>
      <c r="C60" s="44" t="s">
        <v>145</v>
      </c>
      <c r="D60" s="85">
        <v>1</v>
      </c>
      <c r="E60" s="85">
        <v>10</v>
      </c>
      <c r="F60" s="85">
        <f>4.21+4.34</f>
        <v>8.5500000000000007</v>
      </c>
      <c r="G60" s="85">
        <v>1</v>
      </c>
      <c r="H60" s="84">
        <v>1</v>
      </c>
      <c r="I60" s="44">
        <v>1</v>
      </c>
      <c r="J60" s="44">
        <f>+D60*E60*F60*G60*H60*I60</f>
        <v>85.5</v>
      </c>
      <c r="K60" s="86" t="s">
        <v>94</v>
      </c>
    </row>
    <row r="61" spans="2:11" ht="15" x14ac:dyDescent="0.25">
      <c r="B61" s="83"/>
      <c r="C61" s="84"/>
      <c r="D61" s="85"/>
      <c r="E61" s="85"/>
      <c r="F61" s="85"/>
      <c r="G61" s="85"/>
      <c r="H61" s="84"/>
      <c r="I61" s="84"/>
      <c r="J61" s="106"/>
      <c r="K61" s="86"/>
    </row>
    <row r="62" spans="2:11" x14ac:dyDescent="0.2">
      <c r="B62" s="83"/>
      <c r="C62" s="84"/>
      <c r="D62" s="85"/>
      <c r="E62" s="85"/>
      <c r="F62" s="85"/>
      <c r="G62" s="85"/>
      <c r="H62" s="84"/>
      <c r="I62" s="107" t="s">
        <v>142</v>
      </c>
      <c r="J62" s="84">
        <f>+J59*0.012*0.11*(3/0.2032)</f>
        <v>1.666240157480315</v>
      </c>
      <c r="K62" s="86" t="s">
        <v>95</v>
      </c>
    </row>
    <row r="63" spans="2:11" x14ac:dyDescent="0.2">
      <c r="B63" s="83"/>
      <c r="C63" s="84"/>
      <c r="D63" s="85"/>
      <c r="E63" s="85"/>
      <c r="F63" s="85"/>
      <c r="G63" s="85"/>
      <c r="H63" s="84"/>
      <c r="I63" s="107" t="s">
        <v>143</v>
      </c>
      <c r="J63" s="84">
        <f>0.05*0.075*0.2*4*D17</f>
        <v>9.7859999999999996</v>
      </c>
      <c r="K63" s="86" t="s">
        <v>95</v>
      </c>
    </row>
    <row r="64" spans="2:11" ht="15" x14ac:dyDescent="0.25">
      <c r="B64" s="83"/>
      <c r="C64" s="84"/>
      <c r="D64" s="85"/>
      <c r="E64" s="85"/>
      <c r="F64" s="85"/>
      <c r="G64" s="85"/>
      <c r="H64" s="84"/>
      <c r="I64" s="84" t="s">
        <v>144</v>
      </c>
      <c r="J64" s="106">
        <f>+SUM(J62:J63)</f>
        <v>11.452240157480315</v>
      </c>
      <c r="K64" s="102" t="s">
        <v>95</v>
      </c>
    </row>
    <row r="65" spans="2:11" ht="15" x14ac:dyDescent="0.25">
      <c r="B65" s="83"/>
      <c r="C65" s="84"/>
      <c r="D65" s="85"/>
      <c r="E65" s="85"/>
      <c r="F65" s="85"/>
      <c r="G65" s="85"/>
      <c r="H65" s="84"/>
      <c r="I65" s="84"/>
      <c r="J65" s="84"/>
      <c r="K65" s="102"/>
    </row>
    <row r="66" spans="2:11" ht="13.15" customHeight="1" thickBot="1" x14ac:dyDescent="0.25">
      <c r="B66" s="46"/>
      <c r="C66" s="47"/>
      <c r="D66" s="48"/>
      <c r="E66" s="48"/>
      <c r="F66" s="48"/>
      <c r="G66" s="48"/>
      <c r="H66" s="47"/>
      <c r="I66" s="47"/>
      <c r="J66" s="47"/>
      <c r="K66" s="49"/>
    </row>
  </sheetData>
  <mergeCells count="33">
    <mergeCell ref="B48:F48"/>
    <mergeCell ref="B49:F49"/>
    <mergeCell ref="B39:F39"/>
    <mergeCell ref="B40:F40"/>
    <mergeCell ref="B41:F41"/>
    <mergeCell ref="B44:C44"/>
    <mergeCell ref="B45:C45"/>
    <mergeCell ref="B46:F46"/>
    <mergeCell ref="B42:D42"/>
    <mergeCell ref="B38:C38"/>
    <mergeCell ref="B27:C27"/>
    <mergeCell ref="B28:C28"/>
    <mergeCell ref="B29:C29"/>
    <mergeCell ref="B30:C30"/>
    <mergeCell ref="B31:F31"/>
    <mergeCell ref="B32:G32"/>
    <mergeCell ref="B33:C33"/>
    <mergeCell ref="B34:C34"/>
    <mergeCell ref="B35:C35"/>
    <mergeCell ref="B36:C36"/>
    <mergeCell ref="B37:C37"/>
    <mergeCell ref="B26:G26"/>
    <mergeCell ref="B15:G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F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9"/>
  <sheetViews>
    <sheetView topLeftCell="A14" workbookViewId="0">
      <selection activeCell="I47" sqref="I47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37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8.7109375" style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+BOQ!B74</f>
        <v>0</v>
      </c>
    </row>
    <row r="7" spans="2:11" ht="15" x14ac:dyDescent="0.25">
      <c r="B7" s="7" t="s">
        <v>48</v>
      </c>
      <c r="C7" s="19" t="str">
        <f>+BOQ!C74</f>
        <v>Ceiling Works</v>
      </c>
    </row>
    <row r="8" spans="2:11" x14ac:dyDescent="0.2">
      <c r="B8" s="7"/>
    </row>
    <row r="9" spans="2:11" x14ac:dyDescent="0.2">
      <c r="B9" s="21" t="s">
        <v>45</v>
      </c>
      <c r="C9" s="76">
        <f>+J55</f>
        <v>202.923</v>
      </c>
      <c r="D9" s="21" t="s">
        <v>44</v>
      </c>
      <c r="E9" s="77" t="str">
        <f>+K55</f>
        <v>sq.m.</v>
      </c>
      <c r="F9" s="22"/>
      <c r="G9" s="22"/>
      <c r="H9" s="21"/>
      <c r="I9" s="21" t="s">
        <v>123</v>
      </c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16" t="s">
        <v>4</v>
      </c>
      <c r="E14" s="116" t="s">
        <v>5</v>
      </c>
      <c r="F14" s="116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43" t="s">
        <v>192</v>
      </c>
      <c r="C15" s="244"/>
      <c r="D15" s="113">
        <v>77</v>
      </c>
      <c r="E15" s="113" t="s">
        <v>185</v>
      </c>
      <c r="F15" s="113">
        <v>386</v>
      </c>
      <c r="G15" s="30">
        <f>+D15*F15</f>
        <v>29722</v>
      </c>
      <c r="H15" s="21"/>
      <c r="I15" s="21"/>
      <c r="J15" s="21"/>
      <c r="K15" s="21"/>
    </row>
    <row r="16" spans="2:11" x14ac:dyDescent="0.2">
      <c r="B16" s="264" t="s">
        <v>197</v>
      </c>
      <c r="C16" s="265"/>
      <c r="D16" s="113">
        <v>13</v>
      </c>
      <c r="E16" s="113" t="s">
        <v>153</v>
      </c>
      <c r="F16" s="113">
        <f>+ROUNDUP(210*1.2,0)</f>
        <v>252</v>
      </c>
      <c r="G16" s="30">
        <f t="shared" ref="G16:G23" si="0">+D16*F16</f>
        <v>3276</v>
      </c>
      <c r="H16" s="21"/>
      <c r="I16" s="21"/>
      <c r="J16" s="21"/>
      <c r="K16" s="21"/>
    </row>
    <row r="17" spans="2:11" x14ac:dyDescent="0.2">
      <c r="B17" s="264" t="s">
        <v>198</v>
      </c>
      <c r="C17" s="265"/>
      <c r="D17" s="113">
        <v>20</v>
      </c>
      <c r="E17" s="113" t="s">
        <v>202</v>
      </c>
      <c r="F17" s="113">
        <f>+ROUNDUP(60*1.2,0)</f>
        <v>72</v>
      </c>
      <c r="G17" s="30">
        <f t="shared" si="0"/>
        <v>1440</v>
      </c>
      <c r="H17" s="21"/>
      <c r="I17" s="21"/>
      <c r="J17" s="21"/>
      <c r="K17" s="21"/>
    </row>
    <row r="18" spans="2:11" x14ac:dyDescent="0.2">
      <c r="B18" s="264" t="s">
        <v>199</v>
      </c>
      <c r="C18" s="265"/>
      <c r="D18" s="113">
        <v>5200</v>
      </c>
      <c r="E18" s="113" t="s">
        <v>141</v>
      </c>
      <c r="F18" s="113">
        <f>+ROUNDUP(2.5*1.2,0)</f>
        <v>3</v>
      </c>
      <c r="G18" s="30">
        <f t="shared" si="0"/>
        <v>15600</v>
      </c>
      <c r="H18" s="21"/>
      <c r="I18" s="21"/>
      <c r="J18" s="21"/>
      <c r="K18" s="21"/>
    </row>
    <row r="19" spans="2:11" x14ac:dyDescent="0.2">
      <c r="B19" s="264" t="s">
        <v>201</v>
      </c>
      <c r="C19" s="265"/>
      <c r="D19" s="113">
        <v>1680</v>
      </c>
      <c r="E19" s="113" t="s">
        <v>94</v>
      </c>
      <c r="F19" s="113">
        <f>+ROUNDUP(20*1.2,0)</f>
        <v>24</v>
      </c>
      <c r="G19" s="30">
        <f t="shared" si="0"/>
        <v>40320</v>
      </c>
      <c r="H19" s="21"/>
      <c r="I19" s="21"/>
      <c r="J19" s="21"/>
      <c r="K19" s="21"/>
    </row>
    <row r="20" spans="2:11" x14ac:dyDescent="0.2">
      <c r="B20" s="264" t="s">
        <v>193</v>
      </c>
      <c r="C20" s="265"/>
      <c r="D20" s="113">
        <v>948</v>
      </c>
      <c r="E20" s="113" t="s">
        <v>94</v>
      </c>
      <c r="F20" s="113">
        <f>+ROUNDUP(20*1.2,0)</f>
        <v>24</v>
      </c>
      <c r="G20" s="30">
        <f t="shared" si="0"/>
        <v>22752</v>
      </c>
      <c r="H20" s="21"/>
      <c r="I20" s="21"/>
      <c r="J20" s="21"/>
      <c r="K20" s="21"/>
    </row>
    <row r="21" spans="2:11" x14ac:dyDescent="0.2">
      <c r="B21" s="264" t="s">
        <v>194</v>
      </c>
      <c r="C21" s="265"/>
      <c r="D21" s="113">
        <v>804.06</v>
      </c>
      <c r="E21" s="113" t="s">
        <v>94</v>
      </c>
      <c r="F21" s="113">
        <f>+ROUNDUP(30*1.2,0)</f>
        <v>36</v>
      </c>
      <c r="G21" s="30">
        <f t="shared" si="0"/>
        <v>28946.159999999996</v>
      </c>
      <c r="H21" s="21"/>
      <c r="I21" s="21"/>
      <c r="J21" s="21"/>
      <c r="K21" s="21"/>
    </row>
    <row r="22" spans="2:11" x14ac:dyDescent="0.2">
      <c r="B22" s="268" t="s">
        <v>195</v>
      </c>
      <c r="C22" s="269"/>
      <c r="D22" s="113">
        <v>20</v>
      </c>
      <c r="E22" s="113" t="s">
        <v>178</v>
      </c>
      <c r="F22" s="113">
        <f>+ROUNDUP(50*1.2,0)</f>
        <v>60</v>
      </c>
      <c r="G22" s="30">
        <f t="shared" si="0"/>
        <v>1200</v>
      </c>
      <c r="H22" s="21"/>
      <c r="I22" s="21"/>
      <c r="J22" s="21"/>
      <c r="K22" s="21"/>
    </row>
    <row r="23" spans="2:11" x14ac:dyDescent="0.2">
      <c r="B23" s="264" t="s">
        <v>196</v>
      </c>
      <c r="C23" s="265"/>
      <c r="D23" s="113">
        <v>561</v>
      </c>
      <c r="E23" s="113" t="s">
        <v>178</v>
      </c>
      <c r="F23" s="113">
        <f>+ROUNDUP(25*1.2,0)</f>
        <v>30</v>
      </c>
      <c r="G23" s="30">
        <f t="shared" si="0"/>
        <v>16830</v>
      </c>
      <c r="H23" s="21"/>
      <c r="I23" s="21"/>
      <c r="J23" s="21"/>
      <c r="K23" s="21"/>
    </row>
    <row r="24" spans="2:11" x14ac:dyDescent="0.2">
      <c r="B24" s="243"/>
      <c r="C24" s="244"/>
      <c r="D24" s="113"/>
      <c r="E24" s="113"/>
      <c r="F24" s="113"/>
      <c r="G24" s="30"/>
      <c r="H24" s="21"/>
      <c r="I24" s="21"/>
      <c r="J24" s="21"/>
      <c r="K24" s="21"/>
    </row>
    <row r="25" spans="2:11" ht="15" thickBot="1" x14ac:dyDescent="0.25">
      <c r="B25" s="253" t="s">
        <v>51</v>
      </c>
      <c r="C25" s="254"/>
      <c r="D25" s="254"/>
      <c r="E25" s="254"/>
      <c r="F25" s="254"/>
      <c r="G25" s="68">
        <f>+SUM(G15:G24)</f>
        <v>160086.16</v>
      </c>
      <c r="H25" s="21"/>
      <c r="I25" s="21"/>
      <c r="J25" s="21"/>
      <c r="K25" s="21"/>
    </row>
    <row r="26" spans="2:11" ht="15" thickBot="1" x14ac:dyDescent="0.25">
      <c r="B26" s="272" t="s">
        <v>75</v>
      </c>
      <c r="C26" s="273"/>
      <c r="D26" s="273"/>
      <c r="E26" s="273"/>
      <c r="F26" s="273"/>
      <c r="G26" s="274"/>
      <c r="H26" s="21"/>
      <c r="I26" s="21"/>
      <c r="J26" s="21"/>
      <c r="K26" s="21"/>
    </row>
    <row r="27" spans="2:11" ht="15" x14ac:dyDescent="0.2">
      <c r="B27" s="266" t="s">
        <v>2</v>
      </c>
      <c r="C27" s="267"/>
      <c r="D27" s="114" t="s">
        <v>3</v>
      </c>
      <c r="E27" s="114" t="s">
        <v>68</v>
      </c>
      <c r="F27" s="114" t="s">
        <v>69</v>
      </c>
      <c r="G27" s="51" t="s">
        <v>7</v>
      </c>
      <c r="H27" s="33"/>
      <c r="I27" s="33"/>
      <c r="J27" s="33"/>
      <c r="K27" s="33"/>
    </row>
    <row r="28" spans="2:11" x14ac:dyDescent="0.2">
      <c r="B28" s="264" t="s">
        <v>71</v>
      </c>
      <c r="C28" s="265"/>
      <c r="D28" s="113">
        <v>1</v>
      </c>
      <c r="E28" s="113">
        <v>2000</v>
      </c>
      <c r="F28" s="113">
        <v>3.2286000000000001</v>
      </c>
      <c r="G28" s="30">
        <f>+D28*E28*F28</f>
        <v>6457.2000000000007</v>
      </c>
      <c r="H28" s="21">
        <f>+G49-H49</f>
        <v>1.4429118459702295E-4</v>
      </c>
      <c r="I28" s="21"/>
      <c r="J28" s="21"/>
      <c r="K28" s="21"/>
    </row>
    <row r="29" spans="2:11" x14ac:dyDescent="0.2">
      <c r="B29" s="243" t="s">
        <v>89</v>
      </c>
      <c r="C29" s="244"/>
      <c r="D29" s="113">
        <v>4</v>
      </c>
      <c r="E29" s="113">
        <v>200</v>
      </c>
      <c r="F29" s="113">
        <v>4</v>
      </c>
      <c r="G29" s="30">
        <f>+D29*E29*F29</f>
        <v>3200</v>
      </c>
      <c r="H29" s="21"/>
      <c r="I29" s="21"/>
      <c r="J29" s="21"/>
      <c r="K29" s="21"/>
    </row>
    <row r="30" spans="2:11" x14ac:dyDescent="0.2">
      <c r="B30" s="243"/>
      <c r="C30" s="244"/>
      <c r="D30" s="113"/>
      <c r="E30" s="113"/>
      <c r="F30" s="113"/>
      <c r="G30" s="30"/>
      <c r="H30" s="21"/>
      <c r="I30" s="21"/>
      <c r="J30" s="21"/>
      <c r="K30" s="21"/>
    </row>
    <row r="31" spans="2:11" ht="15" thickBot="1" x14ac:dyDescent="0.25">
      <c r="B31" s="253" t="s">
        <v>52</v>
      </c>
      <c r="C31" s="254"/>
      <c r="D31" s="254"/>
      <c r="E31" s="254"/>
      <c r="F31" s="254"/>
      <c r="G31" s="68">
        <f>+SUM(G28:G30)</f>
        <v>9657.2000000000007</v>
      </c>
      <c r="H31" s="21"/>
      <c r="I31" s="21"/>
      <c r="J31" s="21"/>
      <c r="K31" s="21"/>
    </row>
    <row r="32" spans="2:11" ht="15" thickBot="1" x14ac:dyDescent="0.25">
      <c r="B32" s="255" t="s">
        <v>76</v>
      </c>
      <c r="C32" s="256"/>
      <c r="D32" s="256"/>
      <c r="E32" s="256"/>
      <c r="F32" s="256"/>
      <c r="G32" s="257"/>
      <c r="H32" s="21"/>
      <c r="I32" s="21"/>
      <c r="J32" s="21"/>
      <c r="K32" s="21"/>
    </row>
    <row r="33" spans="2:11" ht="15" x14ac:dyDescent="0.2">
      <c r="B33" s="241" t="s">
        <v>2</v>
      </c>
      <c r="C33" s="242"/>
      <c r="D33" s="111" t="s">
        <v>3</v>
      </c>
      <c r="E33" s="111" t="s">
        <v>68</v>
      </c>
      <c r="F33" s="111" t="s">
        <v>69</v>
      </c>
      <c r="G33" s="32" t="s">
        <v>7</v>
      </c>
      <c r="H33" s="21"/>
      <c r="I33" s="21"/>
      <c r="J33" s="21"/>
      <c r="K33" s="21"/>
    </row>
    <row r="34" spans="2:11" x14ac:dyDescent="0.2">
      <c r="B34" s="243" t="s">
        <v>72</v>
      </c>
      <c r="C34" s="244"/>
      <c r="D34" s="113">
        <v>1</v>
      </c>
      <c r="E34" s="113">
        <v>750</v>
      </c>
      <c r="F34" s="113">
        <v>15</v>
      </c>
      <c r="G34" s="30">
        <f>+D34*E34*F34</f>
        <v>11250</v>
      </c>
      <c r="H34" s="21"/>
      <c r="I34" s="21"/>
      <c r="J34" s="21"/>
      <c r="K34" s="21"/>
    </row>
    <row r="35" spans="2:11" x14ac:dyDescent="0.2">
      <c r="B35" s="264" t="s">
        <v>122</v>
      </c>
      <c r="C35" s="265"/>
      <c r="D35" s="113">
        <v>4</v>
      </c>
      <c r="E35" s="113">
        <v>600</v>
      </c>
      <c r="F35" s="113">
        <f>+F34</f>
        <v>15</v>
      </c>
      <c r="G35" s="30">
        <f>+D35*E35*F35</f>
        <v>36000</v>
      </c>
      <c r="H35" s="21"/>
      <c r="I35" s="21"/>
      <c r="J35" s="21"/>
      <c r="K35" s="21"/>
    </row>
    <row r="36" spans="2:11" x14ac:dyDescent="0.2">
      <c r="B36" s="243" t="s">
        <v>73</v>
      </c>
      <c r="C36" s="244"/>
      <c r="D36" s="113">
        <v>4</v>
      </c>
      <c r="E36" s="113">
        <v>450</v>
      </c>
      <c r="F36" s="113">
        <f>+F34</f>
        <v>15</v>
      </c>
      <c r="G36" s="30">
        <f>+D36*E36*F36</f>
        <v>27000</v>
      </c>
      <c r="H36" s="21"/>
      <c r="I36" s="21"/>
      <c r="J36" s="21"/>
      <c r="K36" s="21"/>
    </row>
    <row r="37" spans="2:11" x14ac:dyDescent="0.2">
      <c r="B37" s="243"/>
      <c r="C37" s="244"/>
      <c r="D37" s="113"/>
      <c r="E37" s="113"/>
      <c r="F37" s="113"/>
      <c r="G37" s="30"/>
      <c r="H37" s="21"/>
      <c r="I37" s="21"/>
      <c r="J37" s="21"/>
      <c r="K37" s="21"/>
    </row>
    <row r="38" spans="2:11" x14ac:dyDescent="0.2">
      <c r="B38" s="243"/>
      <c r="C38" s="244"/>
      <c r="D38" s="113"/>
      <c r="E38" s="113"/>
      <c r="F38" s="113"/>
      <c r="G38" s="30"/>
      <c r="H38" s="21"/>
      <c r="I38" s="21"/>
      <c r="J38" s="21"/>
      <c r="K38" s="21"/>
    </row>
    <row r="39" spans="2:11" ht="15" thickBot="1" x14ac:dyDescent="0.25">
      <c r="B39" s="258" t="s">
        <v>53</v>
      </c>
      <c r="C39" s="259"/>
      <c r="D39" s="259"/>
      <c r="E39" s="259"/>
      <c r="F39" s="259"/>
      <c r="G39" s="67">
        <f>+SUM(G34:G38)</f>
        <v>74250</v>
      </c>
      <c r="H39" s="21"/>
      <c r="I39" s="21"/>
      <c r="J39" s="21"/>
      <c r="K39" s="21"/>
    </row>
    <row r="40" spans="2:11" ht="15.75" thickBot="1" x14ac:dyDescent="0.3">
      <c r="B40" s="239" t="s">
        <v>77</v>
      </c>
      <c r="C40" s="240"/>
      <c r="D40" s="240"/>
      <c r="E40" s="240"/>
      <c r="F40" s="240"/>
      <c r="G40" s="52">
        <f>+SUM(G25,G31,G39)</f>
        <v>243993.36000000002</v>
      </c>
      <c r="H40" s="21"/>
      <c r="I40" s="21"/>
      <c r="J40" s="21"/>
      <c r="K40" s="21"/>
    </row>
    <row r="41" spans="2:11" x14ac:dyDescent="0.2">
      <c r="B41" s="247"/>
      <c r="C41" s="248"/>
      <c r="D41" s="248"/>
      <c r="E41" s="248"/>
      <c r="F41" s="248"/>
      <c r="G41" s="34"/>
      <c r="H41" s="21"/>
      <c r="I41" s="21"/>
      <c r="J41" s="21"/>
      <c r="K41" s="21"/>
    </row>
    <row r="42" spans="2:11" x14ac:dyDescent="0.2">
      <c r="B42" s="249" t="s">
        <v>149</v>
      </c>
      <c r="C42" s="250"/>
      <c r="D42" s="250"/>
      <c r="E42" s="137">
        <v>0.01</v>
      </c>
      <c r="F42" s="80" t="s">
        <v>80</v>
      </c>
      <c r="G42" s="34">
        <f>+G40*E42</f>
        <v>2439.9336000000003</v>
      </c>
      <c r="H42" s="21"/>
      <c r="I42" s="21"/>
      <c r="J42" s="21"/>
      <c r="K42" s="21"/>
    </row>
    <row r="43" spans="2:11" x14ac:dyDescent="0.2">
      <c r="B43" s="78" t="s">
        <v>79</v>
      </c>
      <c r="C43" s="76"/>
      <c r="D43" s="58"/>
      <c r="E43" s="139">
        <v>0.12</v>
      </c>
      <c r="F43" s="80" t="s">
        <v>80</v>
      </c>
      <c r="G43" s="81">
        <f>+G40*E43</f>
        <v>29279.2032</v>
      </c>
      <c r="H43" s="82"/>
      <c r="I43" s="82"/>
      <c r="J43" s="82"/>
      <c r="K43" s="82"/>
    </row>
    <row r="44" spans="2:11" x14ac:dyDescent="0.2">
      <c r="B44" s="245" t="s">
        <v>81</v>
      </c>
      <c r="C44" s="246"/>
      <c r="D44" s="56"/>
      <c r="E44" s="140">
        <v>0.08</v>
      </c>
      <c r="F44" s="71" t="s">
        <v>80</v>
      </c>
      <c r="G44" s="70">
        <f>+G40*E44</f>
        <v>19519.468800000002</v>
      </c>
      <c r="H44" s="21"/>
      <c r="I44" s="21"/>
      <c r="J44" s="21"/>
      <c r="K44" s="21"/>
    </row>
    <row r="45" spans="2:11" ht="15" thickBot="1" x14ac:dyDescent="0.25">
      <c r="B45" s="251" t="s">
        <v>78</v>
      </c>
      <c r="C45" s="252"/>
      <c r="D45" s="57"/>
      <c r="E45" s="141">
        <v>0.05</v>
      </c>
      <c r="F45" s="72" t="s">
        <v>82</v>
      </c>
      <c r="G45" s="70">
        <f>+E45*(G40+G43+G44)</f>
        <v>14639.601600000002</v>
      </c>
      <c r="H45" s="21"/>
      <c r="I45" s="21"/>
      <c r="J45" s="21"/>
      <c r="K45" s="21"/>
    </row>
    <row r="46" spans="2:11" ht="15.75" thickBot="1" x14ac:dyDescent="0.3">
      <c r="B46" s="239" t="s">
        <v>55</v>
      </c>
      <c r="C46" s="240"/>
      <c r="D46" s="240"/>
      <c r="E46" s="240"/>
      <c r="F46" s="240"/>
      <c r="G46" s="38">
        <f>+SUM(G42:G45)</f>
        <v>65878.207200000004</v>
      </c>
      <c r="H46" s="21"/>
      <c r="I46" s="21"/>
      <c r="J46" s="21"/>
      <c r="K46" s="21"/>
    </row>
    <row r="47" spans="2:11" ht="15.75" thickBot="1" x14ac:dyDescent="0.3">
      <c r="B47" s="53"/>
      <c r="C47" s="54"/>
      <c r="D47" s="54"/>
      <c r="E47" s="54"/>
      <c r="F47" s="55"/>
      <c r="G47" s="35"/>
      <c r="H47" s="21"/>
      <c r="I47" s="21"/>
      <c r="J47" s="21"/>
      <c r="K47" s="21"/>
    </row>
    <row r="48" spans="2:11" ht="15.75" thickBot="1" x14ac:dyDescent="0.3">
      <c r="B48" s="236" t="s">
        <v>57</v>
      </c>
      <c r="C48" s="237"/>
      <c r="D48" s="237"/>
      <c r="E48" s="237"/>
      <c r="F48" s="238"/>
      <c r="G48" s="38">
        <f>+SUM(G40,G46)</f>
        <v>309871.56720000005</v>
      </c>
      <c r="H48" s="21"/>
      <c r="I48" s="21"/>
      <c r="J48" s="21"/>
      <c r="K48" s="21"/>
    </row>
    <row r="49" spans="2:11" ht="15.75" thickBot="1" x14ac:dyDescent="0.3">
      <c r="B49" s="239" t="s">
        <v>56</v>
      </c>
      <c r="C49" s="240"/>
      <c r="D49" s="240"/>
      <c r="E49" s="240"/>
      <c r="F49" s="240"/>
      <c r="G49" s="38">
        <f>+G48/C9</f>
        <v>1527.0401442911846</v>
      </c>
      <c r="H49" s="21">
        <v>1527.04</v>
      </c>
      <c r="I49" s="21"/>
      <c r="J49" s="21"/>
      <c r="K49" s="21"/>
    </row>
    <row r="50" spans="2:11" x14ac:dyDescent="0.2">
      <c r="B50" s="21"/>
      <c r="C50" s="21"/>
      <c r="D50" s="22"/>
      <c r="E50" s="22"/>
      <c r="F50" s="22"/>
      <c r="G50" s="22"/>
      <c r="H50" s="21"/>
      <c r="I50" s="21"/>
      <c r="J50" s="21"/>
      <c r="K50" s="21"/>
    </row>
    <row r="51" spans="2:11" x14ac:dyDescent="0.2">
      <c r="B51" s="21"/>
      <c r="C51" s="21"/>
      <c r="D51" s="22"/>
      <c r="E51" s="22"/>
      <c r="F51" s="22"/>
      <c r="G51" s="22"/>
      <c r="H51" s="21"/>
      <c r="I51" s="21"/>
      <c r="J51" s="21"/>
      <c r="K51" s="21"/>
    </row>
    <row r="52" spans="2:11" ht="15" thickBot="1" x14ac:dyDescent="0.25">
      <c r="B52" s="24" t="s">
        <v>58</v>
      </c>
      <c r="C52" s="21"/>
      <c r="D52" s="22"/>
      <c r="E52" s="22"/>
      <c r="F52" s="22"/>
      <c r="G52" s="22"/>
      <c r="H52" s="21"/>
      <c r="I52" s="21"/>
      <c r="J52" s="21"/>
      <c r="K52" s="21"/>
    </row>
    <row r="53" spans="2:11" ht="15.75" thickBot="1" x14ac:dyDescent="0.3">
      <c r="B53" s="36" t="s">
        <v>59</v>
      </c>
      <c r="C53" s="37" t="s">
        <v>60</v>
      </c>
      <c r="D53" s="37" t="s">
        <v>61</v>
      </c>
      <c r="E53" s="37" t="s">
        <v>62</v>
      </c>
      <c r="F53" s="37" t="s">
        <v>63</v>
      </c>
      <c r="G53" s="37" t="s">
        <v>64</v>
      </c>
      <c r="H53" s="37" t="s">
        <v>65</v>
      </c>
      <c r="I53" s="37" t="s">
        <v>66</v>
      </c>
      <c r="J53" s="37" t="s">
        <v>67</v>
      </c>
      <c r="K53" s="38" t="s">
        <v>43</v>
      </c>
    </row>
    <row r="54" spans="2:11" x14ac:dyDescent="0.2">
      <c r="B54" s="40"/>
      <c r="C54" s="41"/>
      <c r="D54" s="110"/>
      <c r="E54" s="110"/>
      <c r="F54" s="110"/>
      <c r="G54" s="110"/>
      <c r="H54" s="41"/>
      <c r="I54" s="41"/>
      <c r="J54" s="41"/>
      <c r="K54" s="43"/>
    </row>
    <row r="55" spans="2:11" ht="15" x14ac:dyDescent="0.25">
      <c r="B55" s="115">
        <f>+C6</f>
        <v>0</v>
      </c>
      <c r="C55" s="75" t="str">
        <f>+C7</f>
        <v>Ceiling Works</v>
      </c>
      <c r="D55" s="110"/>
      <c r="E55" s="110"/>
      <c r="F55" s="110"/>
      <c r="G55" s="110"/>
      <c r="H55" s="41"/>
      <c r="I55" s="41"/>
      <c r="J55" s="118">
        <f>+SUM(J56:J57)</f>
        <v>202.923</v>
      </c>
      <c r="K55" s="119" t="s">
        <v>84</v>
      </c>
    </row>
    <row r="56" spans="2:11" ht="15" x14ac:dyDescent="0.25">
      <c r="B56" s="115"/>
      <c r="C56" s="98" t="s">
        <v>175</v>
      </c>
      <c r="D56" s="110">
        <v>2</v>
      </c>
      <c r="E56" s="110">
        <v>1</v>
      </c>
      <c r="F56" s="110">
        <f>3.66+3.8+4.04+4</f>
        <v>15.5</v>
      </c>
      <c r="G56" s="110">
        <f>+(4.34+0.5+0.5+4.2)/2</f>
        <v>4.7699999999999996</v>
      </c>
      <c r="H56" s="41">
        <v>1</v>
      </c>
      <c r="I56" s="44">
        <v>1.05</v>
      </c>
      <c r="J56" s="44">
        <f>+D56*E56*F56*G56*H56*I56</f>
        <v>155.26349999999999</v>
      </c>
      <c r="K56" s="45" t="s">
        <v>84</v>
      </c>
    </row>
    <row r="57" spans="2:11" x14ac:dyDescent="0.2">
      <c r="B57" s="109"/>
      <c r="C57" s="98" t="s">
        <v>191</v>
      </c>
      <c r="D57" s="110">
        <v>2</v>
      </c>
      <c r="E57" s="110">
        <v>1</v>
      </c>
      <c r="F57" s="110">
        <f>14.63+0.5</f>
        <v>15.13</v>
      </c>
      <c r="G57" s="113">
        <v>1.5</v>
      </c>
      <c r="H57" s="44">
        <v>1</v>
      </c>
      <c r="I57" s="44">
        <v>1.05</v>
      </c>
      <c r="J57" s="44">
        <f>+D57*E57*F57*G57*H57*I57</f>
        <v>47.659500000000001</v>
      </c>
      <c r="K57" s="45" t="s">
        <v>84</v>
      </c>
    </row>
    <row r="58" spans="2:11" x14ac:dyDescent="0.2">
      <c r="B58" s="83"/>
      <c r="C58" s="103"/>
      <c r="D58" s="85"/>
      <c r="E58" s="85"/>
      <c r="F58" s="85"/>
      <c r="G58" s="85"/>
      <c r="H58" s="84"/>
      <c r="I58" s="84"/>
      <c r="J58" s="84"/>
      <c r="K58" s="86"/>
    </row>
    <row r="59" spans="2:11" ht="13.15" customHeight="1" thickBot="1" x14ac:dyDescent="0.25">
      <c r="B59" s="46"/>
      <c r="C59" s="47"/>
      <c r="D59" s="48"/>
      <c r="E59" s="48"/>
      <c r="F59" s="48"/>
      <c r="G59" s="48"/>
      <c r="H59" s="47"/>
      <c r="I59" s="47"/>
      <c r="J59" s="47"/>
      <c r="K59" s="49"/>
    </row>
  </sheetData>
  <mergeCells count="35">
    <mergeCell ref="B13:G13"/>
    <mergeCell ref="B24:C24"/>
    <mergeCell ref="B25:F25"/>
    <mergeCell ref="B26:G26"/>
    <mergeCell ref="B35:C35"/>
    <mergeCell ref="B36:C36"/>
    <mergeCell ref="B37:C37"/>
    <mergeCell ref="B38:C38"/>
    <mergeCell ref="B14:C14"/>
    <mergeCell ref="B15:C15"/>
    <mergeCell ref="B20:C20"/>
    <mergeCell ref="B21:C21"/>
    <mergeCell ref="B22:C22"/>
    <mergeCell ref="B23:C23"/>
    <mergeCell ref="B30:C30"/>
    <mergeCell ref="B31:F31"/>
    <mergeCell ref="B32:G32"/>
    <mergeCell ref="B33:C33"/>
    <mergeCell ref="B34:C34"/>
    <mergeCell ref="B48:F48"/>
    <mergeCell ref="B49:F49"/>
    <mergeCell ref="B16:C16"/>
    <mergeCell ref="B17:C17"/>
    <mergeCell ref="B18:C18"/>
    <mergeCell ref="B19:C19"/>
    <mergeCell ref="B46:F46"/>
    <mergeCell ref="B39:F39"/>
    <mergeCell ref="B40:F40"/>
    <mergeCell ref="B41:F41"/>
    <mergeCell ref="B42:D42"/>
    <mergeCell ref="B44:C44"/>
    <mergeCell ref="B45:C45"/>
    <mergeCell ref="B27:C27"/>
    <mergeCell ref="B28:C28"/>
    <mergeCell ref="B29:C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8"/>
  <sheetViews>
    <sheetView workbookViewId="0">
      <selection activeCell="H48" sqref="H48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8.5703125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9" width="8.7109375" style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+BOQ!B78</f>
        <v>0</v>
      </c>
    </row>
    <row r="7" spans="2:11" ht="15" x14ac:dyDescent="0.25">
      <c r="B7" s="7" t="s">
        <v>48</v>
      </c>
      <c r="C7" s="19" t="str">
        <f>+BOQ!C78</f>
        <v>Window Works (Jalousie Type)</v>
      </c>
    </row>
    <row r="8" spans="2:11" ht="15" x14ac:dyDescent="0.25">
      <c r="B8" s="7" t="s">
        <v>47</v>
      </c>
      <c r="C8" s="19">
        <f>+BOQ!B81</f>
        <v>0</v>
      </c>
    </row>
    <row r="9" spans="2:11" ht="15" x14ac:dyDescent="0.25">
      <c r="B9" s="7" t="s">
        <v>49</v>
      </c>
      <c r="C9" s="19" t="str">
        <f>+BOQ!C81</f>
        <v>Installation Labor</v>
      </c>
    </row>
    <row r="10" spans="2:11" x14ac:dyDescent="0.2">
      <c r="B10" s="7"/>
    </row>
    <row r="11" spans="2:11" x14ac:dyDescent="0.2">
      <c r="B11" s="21" t="s">
        <v>45</v>
      </c>
      <c r="C11" s="76">
        <f>+J55</f>
        <v>219.60500000000002</v>
      </c>
      <c r="D11" s="21" t="s">
        <v>44</v>
      </c>
      <c r="E11" s="77" t="str">
        <f>+K55</f>
        <v>ln.m.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16" t="s">
        <v>4</v>
      </c>
      <c r="E16" s="116" t="s">
        <v>5</v>
      </c>
      <c r="F16" s="11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 t="s">
        <v>179</v>
      </c>
      <c r="C17" s="244"/>
      <c r="D17" s="113">
        <f>+ROUNDUP(SUM(J56,J65)/6,0)</f>
        <v>14</v>
      </c>
      <c r="E17" s="113" t="s">
        <v>178</v>
      </c>
      <c r="F17" s="113">
        <f>ROUNDUP(1292*1.1,0)</f>
        <v>1422</v>
      </c>
      <c r="G17" s="30">
        <f>+D17*F17</f>
        <v>19908</v>
      </c>
      <c r="H17" s="21"/>
      <c r="I17" s="21"/>
      <c r="J17" s="21"/>
      <c r="K17" s="21"/>
    </row>
    <row r="18" spans="2:11" x14ac:dyDescent="0.2">
      <c r="B18" s="264" t="s">
        <v>174</v>
      </c>
      <c r="C18" s="265"/>
      <c r="D18" s="113">
        <f>+ROUNDUP(J75/6,0)</f>
        <v>24</v>
      </c>
      <c r="E18" s="113" t="s">
        <v>178</v>
      </c>
      <c r="F18" s="113">
        <f>ROUNDUP(499*1.1,0)</f>
        <v>549</v>
      </c>
      <c r="G18" s="30">
        <f>+D18*F18</f>
        <v>13176</v>
      </c>
      <c r="H18" s="21"/>
      <c r="I18" s="21"/>
      <c r="J18" s="21"/>
      <c r="K18" s="21"/>
    </row>
    <row r="19" spans="2:11" x14ac:dyDescent="0.2">
      <c r="B19" s="268" t="s">
        <v>171</v>
      </c>
      <c r="C19" s="269"/>
      <c r="D19" s="113">
        <v>7</v>
      </c>
      <c r="E19" s="113" t="s">
        <v>172</v>
      </c>
      <c r="F19" s="113">
        <v>2700</v>
      </c>
      <c r="G19" s="30">
        <f>+D19*F19</f>
        <v>18900</v>
      </c>
      <c r="H19" s="21"/>
      <c r="I19" s="21"/>
      <c r="J19" s="21"/>
      <c r="K19" s="21"/>
    </row>
    <row r="20" spans="2:11" x14ac:dyDescent="0.2">
      <c r="B20" s="264" t="s">
        <v>96</v>
      </c>
      <c r="C20" s="265"/>
      <c r="D20" s="113">
        <v>1</v>
      </c>
      <c r="E20" s="113" t="s">
        <v>97</v>
      </c>
      <c r="F20" s="113">
        <v>2500</v>
      </c>
      <c r="G20" s="30">
        <f>+D20*F20</f>
        <v>2500</v>
      </c>
      <c r="H20" s="21"/>
      <c r="I20" s="21"/>
      <c r="J20" s="21"/>
      <c r="K20" s="21"/>
    </row>
    <row r="21" spans="2:11" x14ac:dyDescent="0.2">
      <c r="B21" s="243"/>
      <c r="C21" s="244"/>
      <c r="D21" s="113"/>
      <c r="E21" s="113"/>
      <c r="F21" s="113"/>
      <c r="G21" s="30"/>
      <c r="H21" s="21"/>
      <c r="I21" s="21"/>
      <c r="J21" s="21"/>
      <c r="K21" s="21"/>
    </row>
    <row r="22" spans="2:11" ht="15" thickBot="1" x14ac:dyDescent="0.25">
      <c r="B22" s="253" t="s">
        <v>51</v>
      </c>
      <c r="C22" s="254"/>
      <c r="D22" s="254"/>
      <c r="E22" s="254"/>
      <c r="F22" s="254"/>
      <c r="G22" s="68">
        <f>+SUM(G17:G21)</f>
        <v>54484</v>
      </c>
      <c r="H22" s="21"/>
      <c r="I22" s="21"/>
      <c r="J22" s="21"/>
      <c r="K22" s="21"/>
    </row>
    <row r="23" spans="2:11" ht="15" thickBot="1" x14ac:dyDescent="0.25">
      <c r="B23" s="272" t="s">
        <v>75</v>
      </c>
      <c r="C23" s="273"/>
      <c r="D23" s="273"/>
      <c r="E23" s="273"/>
      <c r="F23" s="273"/>
      <c r="G23" s="274"/>
      <c r="H23" s="21"/>
      <c r="I23" s="21"/>
      <c r="J23" s="21"/>
      <c r="K23" s="21"/>
    </row>
    <row r="24" spans="2:11" ht="15" x14ac:dyDescent="0.2">
      <c r="B24" s="266" t="s">
        <v>2</v>
      </c>
      <c r="C24" s="267"/>
      <c r="D24" s="114" t="s">
        <v>3</v>
      </c>
      <c r="E24" s="114" t="s">
        <v>68</v>
      </c>
      <c r="F24" s="114" t="s">
        <v>69</v>
      </c>
      <c r="G24" s="51" t="s">
        <v>7</v>
      </c>
      <c r="H24" s="33"/>
      <c r="I24" s="33"/>
      <c r="J24" s="33"/>
      <c r="K24" s="33"/>
    </row>
    <row r="25" spans="2:11" x14ac:dyDescent="0.2">
      <c r="B25" s="264" t="s">
        <v>71</v>
      </c>
      <c r="C25" s="265"/>
      <c r="D25" s="113">
        <v>1</v>
      </c>
      <c r="E25" s="113">
        <v>2000</v>
      </c>
      <c r="F25" s="113">
        <v>0</v>
      </c>
      <c r="G25" s="30">
        <f>+D25*E25*F25</f>
        <v>0</v>
      </c>
      <c r="H25" s="21"/>
      <c r="I25" s="21"/>
      <c r="J25" s="21"/>
      <c r="K25" s="21"/>
    </row>
    <row r="26" spans="2:11" x14ac:dyDescent="0.2">
      <c r="B26" s="264" t="s">
        <v>170</v>
      </c>
      <c r="C26" s="265"/>
      <c r="D26" s="113">
        <v>2</v>
      </c>
      <c r="E26" s="113">
        <v>1500</v>
      </c>
      <c r="F26" s="113">
        <f>7</f>
        <v>7</v>
      </c>
      <c r="G26" s="30">
        <f t="shared" ref="G26:G27" si="0">+D26*E26*F26</f>
        <v>21000</v>
      </c>
      <c r="H26" s="21"/>
      <c r="I26" s="21"/>
      <c r="J26" s="21"/>
      <c r="K26" s="21"/>
    </row>
    <row r="27" spans="2:11" x14ac:dyDescent="0.2">
      <c r="B27" s="264" t="s">
        <v>180</v>
      </c>
      <c r="C27" s="265"/>
      <c r="D27" s="113">
        <v>1</v>
      </c>
      <c r="E27" s="113">
        <v>800</v>
      </c>
      <c r="F27" s="113">
        <f>+F33-F26</f>
        <v>5</v>
      </c>
      <c r="G27" s="30">
        <f t="shared" si="0"/>
        <v>4000</v>
      </c>
      <c r="H27" s="21"/>
      <c r="I27" s="21"/>
      <c r="J27" s="21"/>
      <c r="K27" s="21"/>
    </row>
    <row r="28" spans="2:11" x14ac:dyDescent="0.2">
      <c r="B28" s="243" t="s">
        <v>89</v>
      </c>
      <c r="C28" s="244"/>
      <c r="D28" s="113">
        <v>4</v>
      </c>
      <c r="E28" s="113">
        <v>200</v>
      </c>
      <c r="F28" s="113">
        <v>4</v>
      </c>
      <c r="G28" s="30">
        <f>+D28*E28*F28</f>
        <v>3200</v>
      </c>
      <c r="H28" s="21"/>
      <c r="I28" s="21"/>
      <c r="J28" s="21"/>
      <c r="K28" s="21"/>
    </row>
    <row r="29" spans="2:11" x14ac:dyDescent="0.2">
      <c r="B29" s="243"/>
      <c r="C29" s="244"/>
      <c r="D29" s="113"/>
      <c r="E29" s="113"/>
      <c r="F29" s="113"/>
      <c r="G29" s="30"/>
      <c r="H29" s="21"/>
      <c r="I29" s="21"/>
      <c r="J29" s="21"/>
      <c r="K29" s="21"/>
    </row>
    <row r="30" spans="2:11" ht="15" thickBot="1" x14ac:dyDescent="0.25">
      <c r="B30" s="253" t="s">
        <v>52</v>
      </c>
      <c r="C30" s="254"/>
      <c r="D30" s="254"/>
      <c r="E30" s="254"/>
      <c r="F30" s="254"/>
      <c r="G30" s="68">
        <f>+SUM(G25:G29)</f>
        <v>28200</v>
      </c>
      <c r="H30" s="21"/>
      <c r="I30" s="21"/>
      <c r="J30" s="21"/>
      <c r="K30" s="21"/>
    </row>
    <row r="31" spans="2:11" ht="15" thickBot="1" x14ac:dyDescent="0.25">
      <c r="B31" s="255" t="s">
        <v>76</v>
      </c>
      <c r="C31" s="256"/>
      <c r="D31" s="256"/>
      <c r="E31" s="256"/>
      <c r="F31" s="256"/>
      <c r="G31" s="257"/>
      <c r="H31" s="21"/>
      <c r="I31" s="21"/>
      <c r="J31" s="21"/>
      <c r="K31" s="21"/>
    </row>
    <row r="32" spans="2:11" ht="15" x14ac:dyDescent="0.2">
      <c r="B32" s="241" t="s">
        <v>2</v>
      </c>
      <c r="C32" s="242"/>
      <c r="D32" s="111" t="s">
        <v>3</v>
      </c>
      <c r="E32" s="111" t="s">
        <v>68</v>
      </c>
      <c r="F32" s="111" t="s">
        <v>69</v>
      </c>
      <c r="G32" s="32" t="s">
        <v>7</v>
      </c>
      <c r="H32" s="21"/>
      <c r="I32" s="21"/>
      <c r="J32" s="21"/>
      <c r="K32" s="21"/>
    </row>
    <row r="33" spans="2:11" x14ac:dyDescent="0.2">
      <c r="B33" s="243" t="s">
        <v>72</v>
      </c>
      <c r="C33" s="244"/>
      <c r="D33" s="113">
        <v>1</v>
      </c>
      <c r="E33" s="113">
        <v>750</v>
      </c>
      <c r="F33" s="113">
        <v>12</v>
      </c>
      <c r="G33" s="30">
        <f>+D33*E33*F33</f>
        <v>9000</v>
      </c>
      <c r="H33" s="21"/>
      <c r="I33" s="21"/>
      <c r="J33" s="21"/>
      <c r="K33" s="21"/>
    </row>
    <row r="34" spans="2:11" x14ac:dyDescent="0.2">
      <c r="B34" s="264" t="s">
        <v>122</v>
      </c>
      <c r="C34" s="265"/>
      <c r="D34" s="113">
        <v>4</v>
      </c>
      <c r="E34" s="113">
        <v>600</v>
      </c>
      <c r="F34" s="113">
        <f>+F33</f>
        <v>12</v>
      </c>
      <c r="G34" s="30">
        <f>+D34*E34*F34</f>
        <v>28800</v>
      </c>
      <c r="H34" s="21"/>
      <c r="I34" s="21"/>
      <c r="J34" s="21"/>
      <c r="K34" s="21"/>
    </row>
    <row r="35" spans="2:11" x14ac:dyDescent="0.2">
      <c r="B35" s="243" t="s">
        <v>73</v>
      </c>
      <c r="C35" s="244"/>
      <c r="D35" s="113">
        <v>4</v>
      </c>
      <c r="E35" s="113">
        <v>450</v>
      </c>
      <c r="F35" s="113">
        <f>+F33</f>
        <v>12</v>
      </c>
      <c r="G35" s="30">
        <f>+D35*E35*F35</f>
        <v>21600</v>
      </c>
      <c r="H35" s="21"/>
      <c r="I35" s="21"/>
      <c r="J35" s="21"/>
      <c r="K35" s="21"/>
    </row>
    <row r="36" spans="2:11" x14ac:dyDescent="0.2">
      <c r="B36" s="243"/>
      <c r="C36" s="244"/>
      <c r="D36" s="113"/>
      <c r="E36" s="113"/>
      <c r="F36" s="113"/>
      <c r="G36" s="30"/>
      <c r="H36" s="21"/>
      <c r="I36" s="21"/>
      <c r="J36" s="21"/>
      <c r="K36" s="21"/>
    </row>
    <row r="37" spans="2:11" x14ac:dyDescent="0.2">
      <c r="B37" s="243"/>
      <c r="C37" s="244"/>
      <c r="D37" s="113"/>
      <c r="E37" s="113"/>
      <c r="F37" s="113"/>
      <c r="G37" s="30"/>
      <c r="H37" s="21"/>
      <c r="I37" s="21"/>
      <c r="J37" s="21"/>
      <c r="K37" s="21"/>
    </row>
    <row r="38" spans="2:11" ht="15" thickBot="1" x14ac:dyDescent="0.25">
      <c r="B38" s="258" t="s">
        <v>53</v>
      </c>
      <c r="C38" s="259"/>
      <c r="D38" s="259"/>
      <c r="E38" s="259"/>
      <c r="F38" s="259"/>
      <c r="G38" s="67">
        <f>+SUM(G33:G37)</f>
        <v>59400</v>
      </c>
      <c r="H38" s="21"/>
      <c r="I38" s="21"/>
      <c r="J38" s="21"/>
      <c r="K38" s="21"/>
    </row>
    <row r="39" spans="2:11" ht="15.75" thickBot="1" x14ac:dyDescent="0.3">
      <c r="B39" s="239" t="s">
        <v>77</v>
      </c>
      <c r="C39" s="240"/>
      <c r="D39" s="240"/>
      <c r="E39" s="240"/>
      <c r="F39" s="240"/>
      <c r="G39" s="52">
        <f>+SUM(G22,G30,G38)</f>
        <v>142084</v>
      </c>
      <c r="H39" s="21"/>
      <c r="I39" s="21"/>
      <c r="J39" s="21"/>
      <c r="K39" s="21"/>
    </row>
    <row r="40" spans="2:11" x14ac:dyDescent="0.2">
      <c r="B40" s="247"/>
      <c r="C40" s="248"/>
      <c r="D40" s="248"/>
      <c r="E40" s="248"/>
      <c r="F40" s="248"/>
      <c r="G40" s="34"/>
      <c r="H40" s="21"/>
      <c r="I40" s="21"/>
      <c r="J40" s="21"/>
      <c r="K40" s="21"/>
    </row>
    <row r="41" spans="2:11" x14ac:dyDescent="0.2">
      <c r="B41" s="249" t="s">
        <v>149</v>
      </c>
      <c r="C41" s="250"/>
      <c r="D41" s="250"/>
      <c r="E41" s="137">
        <v>0.01</v>
      </c>
      <c r="F41" s="80" t="s">
        <v>80</v>
      </c>
      <c r="G41" s="34">
        <f>+G39*E41</f>
        <v>1420.84</v>
      </c>
      <c r="H41" s="21"/>
      <c r="I41" s="21"/>
      <c r="J41" s="21"/>
      <c r="K41" s="21"/>
    </row>
    <row r="42" spans="2:11" x14ac:dyDescent="0.2">
      <c r="B42" s="78" t="s">
        <v>79</v>
      </c>
      <c r="C42" s="76"/>
      <c r="D42" s="58"/>
      <c r="E42" s="139">
        <v>0.12</v>
      </c>
      <c r="F42" s="80" t="s">
        <v>80</v>
      </c>
      <c r="G42" s="81">
        <f>+G39*E42</f>
        <v>17050.079999999998</v>
      </c>
      <c r="H42" s="82"/>
      <c r="I42" s="82"/>
      <c r="J42" s="82"/>
      <c r="K42" s="82"/>
    </row>
    <row r="43" spans="2:11" x14ac:dyDescent="0.2">
      <c r="B43" s="245" t="s">
        <v>81</v>
      </c>
      <c r="C43" s="246"/>
      <c r="D43" s="56"/>
      <c r="E43" s="140">
        <v>0.08</v>
      </c>
      <c r="F43" s="71" t="s">
        <v>80</v>
      </c>
      <c r="G43" s="70">
        <f>+G39*E43</f>
        <v>11366.72</v>
      </c>
      <c r="H43" s="21"/>
      <c r="I43" s="21"/>
      <c r="J43" s="21"/>
      <c r="K43" s="21"/>
    </row>
    <row r="44" spans="2:11" ht="15" thickBot="1" x14ac:dyDescent="0.25">
      <c r="B44" s="251" t="s">
        <v>78</v>
      </c>
      <c r="C44" s="252"/>
      <c r="D44" s="57"/>
      <c r="E44" s="141">
        <v>0.05</v>
      </c>
      <c r="F44" s="72" t="s">
        <v>82</v>
      </c>
      <c r="G44" s="70">
        <f>+E44*(G39+G42+G43)</f>
        <v>8525.0399999999991</v>
      </c>
      <c r="H44" s="21"/>
      <c r="I44" s="21"/>
      <c r="J44" s="21"/>
      <c r="K44" s="21"/>
    </row>
    <row r="45" spans="2:11" ht="15.75" thickBot="1" x14ac:dyDescent="0.3">
      <c r="B45" s="239" t="s">
        <v>55</v>
      </c>
      <c r="C45" s="240"/>
      <c r="D45" s="240"/>
      <c r="E45" s="240"/>
      <c r="F45" s="240"/>
      <c r="G45" s="38">
        <f>+SUM(G41:G44)</f>
        <v>38362.68</v>
      </c>
      <c r="H45" s="21"/>
      <c r="I45" s="21"/>
      <c r="J45" s="21"/>
      <c r="K45" s="21"/>
    </row>
    <row r="46" spans="2:11" ht="15.75" thickBot="1" x14ac:dyDescent="0.3">
      <c r="B46" s="53"/>
      <c r="C46" s="54"/>
      <c r="D46" s="54"/>
      <c r="E46" s="54"/>
      <c r="F46" s="55"/>
      <c r="G46" s="35"/>
      <c r="H46" s="21"/>
      <c r="I46" s="21"/>
      <c r="J46" s="21"/>
      <c r="K46" s="21"/>
    </row>
    <row r="47" spans="2:11" ht="15.75" thickBot="1" x14ac:dyDescent="0.3">
      <c r="B47" s="236" t="s">
        <v>57</v>
      </c>
      <c r="C47" s="237"/>
      <c r="D47" s="237"/>
      <c r="E47" s="237"/>
      <c r="F47" s="238"/>
      <c r="G47" s="38">
        <f>+SUM(G39,G45)</f>
        <v>180446.68</v>
      </c>
      <c r="H47" s="21"/>
      <c r="I47" s="21"/>
      <c r="J47" s="21"/>
      <c r="K47" s="21"/>
    </row>
    <row r="48" spans="2:11" ht="15.75" thickBot="1" x14ac:dyDescent="0.3">
      <c r="B48" s="239" t="s">
        <v>56</v>
      </c>
      <c r="C48" s="240"/>
      <c r="D48" s="240"/>
      <c r="E48" s="240"/>
      <c r="F48" s="240"/>
      <c r="G48" s="38">
        <f>+G47/C11</f>
        <v>821.68748434689542</v>
      </c>
      <c r="H48" s="21"/>
      <c r="I48" s="21"/>
      <c r="J48" s="21"/>
      <c r="K48" s="21"/>
    </row>
    <row r="49" spans="2:11" x14ac:dyDescent="0.2">
      <c r="B49" s="21"/>
      <c r="C49" s="21"/>
      <c r="D49" s="22"/>
      <c r="E49" s="22"/>
      <c r="F49" s="22"/>
      <c r="G49" s="22"/>
      <c r="H49" s="21"/>
      <c r="I49" s="21"/>
      <c r="J49" s="21"/>
      <c r="K49" s="21"/>
    </row>
    <row r="50" spans="2:11" x14ac:dyDescent="0.2">
      <c r="B50" s="21"/>
      <c r="C50" s="21"/>
      <c r="D50" s="22"/>
      <c r="E50" s="22"/>
      <c r="F50" s="22"/>
      <c r="G50" s="22"/>
      <c r="H50" s="21"/>
      <c r="I50" s="21"/>
      <c r="J50" s="21"/>
      <c r="K50" s="21"/>
    </row>
    <row r="51" spans="2:11" ht="15" thickBot="1" x14ac:dyDescent="0.25">
      <c r="B51" s="24" t="s">
        <v>58</v>
      </c>
      <c r="C51" s="21"/>
      <c r="D51" s="22"/>
      <c r="E51" s="22"/>
      <c r="F51" s="22"/>
      <c r="G51" s="22"/>
      <c r="H51" s="21"/>
      <c r="I51" s="21"/>
      <c r="J51" s="21"/>
      <c r="K51" s="21"/>
    </row>
    <row r="52" spans="2:11" ht="15.75" thickBot="1" x14ac:dyDescent="0.3">
      <c r="B52" s="36" t="s">
        <v>59</v>
      </c>
      <c r="C52" s="37" t="s">
        <v>60</v>
      </c>
      <c r="D52" s="37" t="s">
        <v>61</v>
      </c>
      <c r="E52" s="37" t="s">
        <v>62</v>
      </c>
      <c r="F52" s="37" t="s">
        <v>63</v>
      </c>
      <c r="G52" s="37" t="s">
        <v>64</v>
      </c>
      <c r="H52" s="37" t="s">
        <v>65</v>
      </c>
      <c r="I52" s="37" t="s">
        <v>66</v>
      </c>
      <c r="J52" s="37" t="s">
        <v>67</v>
      </c>
      <c r="K52" s="38" t="s">
        <v>43</v>
      </c>
    </row>
    <row r="53" spans="2:11" x14ac:dyDescent="0.2">
      <c r="B53" s="40"/>
      <c r="C53" s="41"/>
      <c r="D53" s="110"/>
      <c r="E53" s="110"/>
      <c r="F53" s="110"/>
      <c r="G53" s="110"/>
      <c r="H53" s="41"/>
      <c r="I53" s="41"/>
      <c r="J53" s="41"/>
      <c r="K53" s="43"/>
    </row>
    <row r="54" spans="2:11" ht="15" x14ac:dyDescent="0.25">
      <c r="B54" s="115">
        <f>+C6</f>
        <v>0</v>
      </c>
      <c r="C54" s="75" t="str">
        <f>+C7</f>
        <v>Window Works (Jalousie Type)</v>
      </c>
      <c r="D54" s="110"/>
      <c r="E54" s="110"/>
      <c r="F54" s="110"/>
      <c r="G54" s="110"/>
      <c r="H54" s="41"/>
      <c r="I54" s="41"/>
      <c r="J54" s="118"/>
      <c r="K54" s="43"/>
    </row>
    <row r="55" spans="2:11" ht="15" x14ac:dyDescent="0.25">
      <c r="B55" s="115">
        <f>+C8</f>
        <v>0</v>
      </c>
      <c r="C55" s="75" t="str">
        <f>+C9</f>
        <v>Installation Labor</v>
      </c>
      <c r="D55" s="110"/>
      <c r="E55" s="110"/>
      <c r="F55" s="98"/>
      <c r="G55" s="110"/>
      <c r="H55" s="41"/>
      <c r="I55" s="41"/>
      <c r="J55" s="73">
        <f>+SUM(J56,J65,J75)</f>
        <v>219.60500000000002</v>
      </c>
      <c r="K55" s="74" t="s">
        <v>94</v>
      </c>
    </row>
    <row r="56" spans="2:11" ht="15" x14ac:dyDescent="0.25">
      <c r="B56" s="109" t="s">
        <v>86</v>
      </c>
      <c r="C56" s="98" t="s">
        <v>179</v>
      </c>
      <c r="D56" s="110" t="s">
        <v>168</v>
      </c>
      <c r="E56" s="110"/>
      <c r="F56" s="98"/>
      <c r="G56" s="113"/>
      <c r="H56" s="44"/>
      <c r="I56" s="44"/>
      <c r="J56" s="105">
        <f>+SUM(J57:J63)</f>
        <v>51.829599999999999</v>
      </c>
      <c r="K56" s="119" t="s">
        <v>94</v>
      </c>
    </row>
    <row r="57" spans="2:11" x14ac:dyDescent="0.2">
      <c r="B57" s="83"/>
      <c r="C57" s="157" t="s">
        <v>161</v>
      </c>
      <c r="D57" s="110">
        <v>8</v>
      </c>
      <c r="E57" s="110">
        <v>1</v>
      </c>
      <c r="F57" s="98">
        <v>2.04</v>
      </c>
      <c r="G57" s="113">
        <v>1</v>
      </c>
      <c r="H57" s="44">
        <v>1</v>
      </c>
      <c r="I57" s="44">
        <v>1.03</v>
      </c>
      <c r="J57" s="44">
        <f>+D57*E57*F57*G57*H57*I57</f>
        <v>16.8096</v>
      </c>
      <c r="K57" s="45" t="s">
        <v>94</v>
      </c>
    </row>
    <row r="58" spans="2:11" x14ac:dyDescent="0.2">
      <c r="B58" s="83"/>
      <c r="C58" s="157" t="s">
        <v>162</v>
      </c>
      <c r="D58" s="110">
        <v>8</v>
      </c>
      <c r="E58" s="110">
        <v>1</v>
      </c>
      <c r="F58" s="98">
        <v>2</v>
      </c>
      <c r="G58" s="113">
        <v>1</v>
      </c>
      <c r="H58" s="44">
        <v>1</v>
      </c>
      <c r="I58" s="44">
        <v>1.03</v>
      </c>
      <c r="J58" s="44">
        <f t="shared" ref="J58:J62" si="1">+D58*E58*F58*G58*H58*I58</f>
        <v>16.48</v>
      </c>
      <c r="K58" s="45" t="s">
        <v>94</v>
      </c>
    </row>
    <row r="59" spans="2:11" x14ac:dyDescent="0.2">
      <c r="B59" s="83"/>
      <c r="C59" s="157" t="s">
        <v>163</v>
      </c>
      <c r="D59" s="110">
        <v>8</v>
      </c>
      <c r="E59" s="110">
        <v>1</v>
      </c>
      <c r="F59" s="98">
        <v>0.78</v>
      </c>
      <c r="G59" s="113">
        <v>1</v>
      </c>
      <c r="H59" s="44">
        <v>1</v>
      </c>
      <c r="I59" s="44">
        <v>1.03</v>
      </c>
      <c r="J59" s="44">
        <f t="shared" si="1"/>
        <v>6.4272</v>
      </c>
      <c r="K59" s="45" t="s">
        <v>94</v>
      </c>
    </row>
    <row r="60" spans="2:11" x14ac:dyDescent="0.2">
      <c r="B60" s="83"/>
      <c r="C60" s="157" t="s">
        <v>164</v>
      </c>
      <c r="D60" s="110">
        <v>8</v>
      </c>
      <c r="E60" s="110">
        <v>1</v>
      </c>
      <c r="F60" s="98">
        <v>0.68</v>
      </c>
      <c r="G60" s="113">
        <v>1</v>
      </c>
      <c r="H60" s="44">
        <v>1</v>
      </c>
      <c r="I60" s="44">
        <v>1.03</v>
      </c>
      <c r="J60" s="44">
        <f t="shared" si="1"/>
        <v>5.6032000000000002</v>
      </c>
      <c r="K60" s="45" t="s">
        <v>94</v>
      </c>
    </row>
    <row r="61" spans="2:11" x14ac:dyDescent="0.2">
      <c r="B61" s="83"/>
      <c r="C61" s="157" t="s">
        <v>165</v>
      </c>
      <c r="D61" s="110">
        <v>8</v>
      </c>
      <c r="E61" s="110">
        <v>1</v>
      </c>
      <c r="F61" s="110">
        <v>0.4</v>
      </c>
      <c r="G61" s="113">
        <v>1</v>
      </c>
      <c r="H61" s="44">
        <v>1</v>
      </c>
      <c r="I61" s="44">
        <v>1.03</v>
      </c>
      <c r="J61" s="44">
        <f t="shared" si="1"/>
        <v>3.2960000000000003</v>
      </c>
      <c r="K61" s="45" t="s">
        <v>94</v>
      </c>
    </row>
    <row r="62" spans="2:11" x14ac:dyDescent="0.2">
      <c r="B62" s="83"/>
      <c r="C62" s="157" t="s">
        <v>166</v>
      </c>
      <c r="D62" s="110">
        <v>8</v>
      </c>
      <c r="E62" s="110">
        <v>1</v>
      </c>
      <c r="F62" s="110">
        <v>0.26</v>
      </c>
      <c r="G62" s="113">
        <v>1</v>
      </c>
      <c r="H62" s="44">
        <v>1</v>
      </c>
      <c r="I62" s="44">
        <v>1.03</v>
      </c>
      <c r="J62" s="44">
        <f t="shared" si="1"/>
        <v>2.1424000000000003</v>
      </c>
      <c r="K62" s="45" t="s">
        <v>94</v>
      </c>
    </row>
    <row r="63" spans="2:11" x14ac:dyDescent="0.2">
      <c r="B63" s="83"/>
      <c r="C63" s="157" t="s">
        <v>167</v>
      </c>
      <c r="D63" s="113">
        <v>8</v>
      </c>
      <c r="E63" s="113">
        <v>1</v>
      </c>
      <c r="F63" s="113">
        <v>0.13</v>
      </c>
      <c r="G63" s="113">
        <v>1</v>
      </c>
      <c r="H63" s="44">
        <v>1</v>
      </c>
      <c r="I63" s="44">
        <v>1.03</v>
      </c>
      <c r="J63" s="44">
        <f>+D63*E63*F63*G63*H63*I63</f>
        <v>1.0712000000000002</v>
      </c>
      <c r="K63" s="45" t="s">
        <v>94</v>
      </c>
    </row>
    <row r="64" spans="2:11" x14ac:dyDescent="0.2">
      <c r="B64" s="83"/>
      <c r="C64" s="44"/>
      <c r="D64" s="85"/>
      <c r="E64" s="85"/>
      <c r="F64" s="85"/>
      <c r="G64" s="113"/>
      <c r="H64" s="44"/>
      <c r="I64" s="44"/>
      <c r="J64" s="44"/>
      <c r="K64" s="45"/>
    </row>
    <row r="65" spans="2:11" ht="15" x14ac:dyDescent="0.25">
      <c r="B65" s="83"/>
      <c r="C65" s="84" t="s">
        <v>179</v>
      </c>
      <c r="D65" s="85" t="s">
        <v>169</v>
      </c>
      <c r="E65" s="85"/>
      <c r="F65" s="85"/>
      <c r="G65" s="85"/>
      <c r="H65" s="84"/>
      <c r="I65" s="44"/>
      <c r="J65" s="105">
        <f>+SUM(J66:J72)</f>
        <v>27.995400000000004</v>
      </c>
      <c r="K65" s="119" t="s">
        <v>94</v>
      </c>
    </row>
    <row r="66" spans="2:11" x14ac:dyDescent="0.2">
      <c r="B66" s="83"/>
      <c r="C66" s="157" t="s">
        <v>161</v>
      </c>
      <c r="D66" s="113">
        <v>1</v>
      </c>
      <c r="E66" s="113">
        <v>2</v>
      </c>
      <c r="F66" s="157">
        <v>4.18</v>
      </c>
      <c r="G66" s="113">
        <v>1</v>
      </c>
      <c r="H66" s="44">
        <v>1</v>
      </c>
      <c r="I66" s="44">
        <v>1.03</v>
      </c>
      <c r="J66" s="44">
        <f>+D66*E66*F66*G66*H66*I66</f>
        <v>8.6107999999999993</v>
      </c>
      <c r="K66" s="45" t="s">
        <v>94</v>
      </c>
    </row>
    <row r="67" spans="2:11" x14ac:dyDescent="0.2">
      <c r="B67" s="83"/>
      <c r="C67" s="157" t="s">
        <v>162</v>
      </c>
      <c r="D67" s="113">
        <v>1</v>
      </c>
      <c r="E67" s="113">
        <v>2</v>
      </c>
      <c r="F67" s="157">
        <v>3.9</v>
      </c>
      <c r="G67" s="113">
        <v>1</v>
      </c>
      <c r="H67" s="44">
        <v>1</v>
      </c>
      <c r="I67" s="44">
        <v>1.03</v>
      </c>
      <c r="J67" s="44">
        <f t="shared" ref="J67:J71" si="2">+D67*E67*F67*G67*H67*I67</f>
        <v>8.0340000000000007</v>
      </c>
      <c r="K67" s="45" t="s">
        <v>94</v>
      </c>
    </row>
    <row r="68" spans="2:11" x14ac:dyDescent="0.2">
      <c r="B68" s="83"/>
      <c r="C68" s="157" t="s">
        <v>163</v>
      </c>
      <c r="D68" s="110">
        <v>1</v>
      </c>
      <c r="E68" s="110">
        <v>2</v>
      </c>
      <c r="F68" s="98">
        <v>1.98</v>
      </c>
      <c r="G68" s="113">
        <v>1</v>
      </c>
      <c r="H68" s="44">
        <v>1</v>
      </c>
      <c r="I68" s="44">
        <v>1.03</v>
      </c>
      <c r="J68" s="44">
        <f t="shared" si="2"/>
        <v>4.0788000000000002</v>
      </c>
      <c r="K68" s="45" t="s">
        <v>94</v>
      </c>
    </row>
    <row r="69" spans="2:11" x14ac:dyDescent="0.2">
      <c r="B69" s="83"/>
      <c r="C69" s="157" t="s">
        <v>164</v>
      </c>
      <c r="D69" s="110">
        <v>1</v>
      </c>
      <c r="E69" s="110">
        <v>2</v>
      </c>
      <c r="F69" s="98">
        <v>1.38</v>
      </c>
      <c r="G69" s="113">
        <v>1</v>
      </c>
      <c r="H69" s="44">
        <v>1</v>
      </c>
      <c r="I69" s="44">
        <v>1.03</v>
      </c>
      <c r="J69" s="44">
        <f t="shared" si="2"/>
        <v>2.8428</v>
      </c>
      <c r="K69" s="45" t="s">
        <v>94</v>
      </c>
    </row>
    <row r="70" spans="2:11" x14ac:dyDescent="0.2">
      <c r="B70" s="83"/>
      <c r="C70" s="157" t="s">
        <v>165</v>
      </c>
      <c r="D70" s="110">
        <v>1</v>
      </c>
      <c r="E70" s="110">
        <v>1</v>
      </c>
      <c r="F70" s="110">
        <v>1.5</v>
      </c>
      <c r="G70" s="113">
        <v>1</v>
      </c>
      <c r="H70" s="44">
        <v>1</v>
      </c>
      <c r="I70" s="44">
        <v>1.03</v>
      </c>
      <c r="J70" s="44">
        <f t="shared" si="2"/>
        <v>1.5449999999999999</v>
      </c>
      <c r="K70" s="45" t="s">
        <v>94</v>
      </c>
    </row>
    <row r="71" spans="2:11" x14ac:dyDescent="0.2">
      <c r="B71" s="83"/>
      <c r="C71" s="157" t="s">
        <v>166</v>
      </c>
      <c r="D71" s="110">
        <v>1</v>
      </c>
      <c r="E71" s="110">
        <v>2</v>
      </c>
      <c r="F71" s="110">
        <v>0.93</v>
      </c>
      <c r="G71" s="113">
        <v>1</v>
      </c>
      <c r="H71" s="44">
        <v>1</v>
      </c>
      <c r="I71" s="44">
        <v>1.03</v>
      </c>
      <c r="J71" s="44">
        <f t="shared" si="2"/>
        <v>1.9158000000000002</v>
      </c>
      <c r="K71" s="45" t="s">
        <v>94</v>
      </c>
    </row>
    <row r="72" spans="2:11" x14ac:dyDescent="0.2">
      <c r="B72" s="83"/>
      <c r="C72" s="157" t="s">
        <v>167</v>
      </c>
      <c r="D72" s="113">
        <v>1</v>
      </c>
      <c r="E72" s="113">
        <v>2</v>
      </c>
      <c r="F72" s="113">
        <v>0.47</v>
      </c>
      <c r="G72" s="113">
        <v>1</v>
      </c>
      <c r="H72" s="44">
        <v>1</v>
      </c>
      <c r="I72" s="44">
        <v>1.03</v>
      </c>
      <c r="J72" s="44">
        <f>+D72*E72*F72*G72*H72*I72</f>
        <v>0.96819999999999995</v>
      </c>
      <c r="K72" s="45" t="s">
        <v>94</v>
      </c>
    </row>
    <row r="73" spans="2:11" x14ac:dyDescent="0.2">
      <c r="B73" s="83"/>
      <c r="C73" s="103"/>
      <c r="D73" s="85"/>
      <c r="E73" s="85"/>
      <c r="F73" s="85"/>
      <c r="G73" s="85"/>
      <c r="H73" s="84"/>
      <c r="I73" s="84"/>
      <c r="J73" s="84"/>
      <c r="K73" s="86"/>
    </row>
    <row r="74" spans="2:11" x14ac:dyDescent="0.2">
      <c r="B74" s="83" t="s">
        <v>87</v>
      </c>
      <c r="C74" s="103" t="s">
        <v>173</v>
      </c>
      <c r="D74" s="85"/>
      <c r="E74" s="85"/>
      <c r="F74" s="85"/>
      <c r="G74" s="85"/>
      <c r="H74" s="84"/>
      <c r="I74" s="84"/>
      <c r="J74" s="84"/>
      <c r="K74" s="86"/>
    </row>
    <row r="75" spans="2:11" ht="15" x14ac:dyDescent="0.25">
      <c r="B75" s="83"/>
      <c r="C75" s="103" t="s">
        <v>174</v>
      </c>
      <c r="D75" s="85"/>
      <c r="E75" s="85"/>
      <c r="F75" s="85"/>
      <c r="G75" s="85"/>
      <c r="H75" s="84"/>
      <c r="I75" s="84"/>
      <c r="J75" s="106">
        <f>+SUM(J76:J77)</f>
        <v>139.78</v>
      </c>
      <c r="K75" s="102" t="s">
        <v>94</v>
      </c>
    </row>
    <row r="76" spans="2:11" x14ac:dyDescent="0.2">
      <c r="B76" s="83"/>
      <c r="C76" s="103" t="s">
        <v>176</v>
      </c>
      <c r="D76" s="85">
        <v>2</v>
      </c>
      <c r="E76" s="85">
        <v>4</v>
      </c>
      <c r="F76" s="85">
        <v>6.5</v>
      </c>
      <c r="G76" s="85">
        <v>1</v>
      </c>
      <c r="H76" s="85">
        <v>1</v>
      </c>
      <c r="I76" s="44">
        <v>1.03</v>
      </c>
      <c r="J76" s="84">
        <f>+D76*E76*F76*G76*H76</f>
        <v>52</v>
      </c>
      <c r="K76" s="86" t="s">
        <v>94</v>
      </c>
    </row>
    <row r="77" spans="2:11" x14ac:dyDescent="0.2">
      <c r="B77" s="83"/>
      <c r="C77" s="84" t="s">
        <v>177</v>
      </c>
      <c r="D77" s="85">
        <v>2</v>
      </c>
      <c r="E77" s="85">
        <v>3</v>
      </c>
      <c r="F77" s="85">
        <v>14.63</v>
      </c>
      <c r="G77" s="85">
        <v>1</v>
      </c>
      <c r="H77" s="84">
        <v>1</v>
      </c>
      <c r="I77" s="44">
        <v>1.03</v>
      </c>
      <c r="J77" s="84">
        <f>+D77*E77*F77*G77*H77</f>
        <v>87.78</v>
      </c>
      <c r="K77" s="45" t="s">
        <v>94</v>
      </c>
    </row>
    <row r="78" spans="2:11" ht="13.15" customHeight="1" thickBot="1" x14ac:dyDescent="0.25">
      <c r="B78" s="46"/>
      <c r="C78" s="47"/>
      <c r="D78" s="48"/>
      <c r="E78" s="48"/>
      <c r="F78" s="48"/>
      <c r="G78" s="48"/>
      <c r="H78" s="47"/>
      <c r="I78" s="47"/>
      <c r="J78" s="47"/>
      <c r="K78" s="49"/>
    </row>
  </sheetData>
  <mergeCells count="32">
    <mergeCell ref="B25:C25"/>
    <mergeCell ref="B15:G15"/>
    <mergeCell ref="B16:C16"/>
    <mergeCell ref="B17:C17"/>
    <mergeCell ref="B19:C19"/>
    <mergeCell ref="B20:C20"/>
    <mergeCell ref="B21:C21"/>
    <mergeCell ref="B22:F22"/>
    <mergeCell ref="B23:G23"/>
    <mergeCell ref="B24:C24"/>
    <mergeCell ref="B18:C18"/>
    <mergeCell ref="B47:F47"/>
    <mergeCell ref="B48:F48"/>
    <mergeCell ref="B40:F40"/>
    <mergeCell ref="B45:F45"/>
    <mergeCell ref="B39:F39"/>
    <mergeCell ref="B38:F38"/>
    <mergeCell ref="B41:D41"/>
    <mergeCell ref="B43:C43"/>
    <mergeCell ref="B44:C44"/>
    <mergeCell ref="B26:C26"/>
    <mergeCell ref="B27:C27"/>
    <mergeCell ref="B28:C28"/>
    <mergeCell ref="B29:C29"/>
    <mergeCell ref="B34:C34"/>
    <mergeCell ref="B35:C35"/>
    <mergeCell ref="B36:C36"/>
    <mergeCell ref="B37:C37"/>
    <mergeCell ref="B30:F30"/>
    <mergeCell ref="B31:G31"/>
    <mergeCell ref="B32:C32"/>
    <mergeCell ref="B33:C33"/>
  </mergeCells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60"/>
  <sheetViews>
    <sheetView workbookViewId="0">
      <selection sqref="A1:XFD1048576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37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8.7109375" style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+BOQ!B78</f>
        <v>0</v>
      </c>
    </row>
    <row r="7" spans="2:11" ht="15" x14ac:dyDescent="0.25">
      <c r="B7" s="7" t="s">
        <v>48</v>
      </c>
      <c r="C7" s="19" t="str">
        <f>+BOQ!C78</f>
        <v>Window Works (Jalousie Type)</v>
      </c>
    </row>
    <row r="8" spans="2:11" ht="15" x14ac:dyDescent="0.25">
      <c r="B8" s="7" t="s">
        <v>47</v>
      </c>
      <c r="C8" s="19">
        <f>+BOQ!B82</f>
        <v>0</v>
      </c>
    </row>
    <row r="9" spans="2:11" ht="15" x14ac:dyDescent="0.25">
      <c r="B9" s="7" t="s">
        <v>49</v>
      </c>
      <c r="C9" s="19" t="str">
        <f>+BOQ!C82</f>
        <v>Doors</v>
      </c>
    </row>
    <row r="10" spans="2:11" x14ac:dyDescent="0.2">
      <c r="B10" s="7"/>
    </row>
    <row r="11" spans="2:11" x14ac:dyDescent="0.2">
      <c r="B11" s="21" t="s">
        <v>45</v>
      </c>
      <c r="C11" s="76">
        <f>+J54</f>
        <v>199.21671000000001</v>
      </c>
      <c r="D11" s="21" t="s">
        <v>44</v>
      </c>
      <c r="E11" s="77" t="str">
        <f>+K54</f>
        <v>sq.m.</v>
      </c>
      <c r="F11" s="22"/>
      <c r="G11" s="22"/>
      <c r="H11" s="21"/>
      <c r="I11" s="21" t="s">
        <v>123</v>
      </c>
      <c r="J11" s="21"/>
      <c r="K11" s="21"/>
    </row>
    <row r="12" spans="2:11" x14ac:dyDescent="0.2">
      <c r="B12" s="21"/>
      <c r="C12" s="21"/>
      <c r="D12" s="22"/>
      <c r="E12" s="22"/>
      <c r="F12" s="22"/>
      <c r="G12" s="22"/>
      <c r="H12" s="21"/>
      <c r="I12" s="21"/>
      <c r="J12" s="21"/>
      <c r="K12" s="21"/>
    </row>
    <row r="13" spans="2:11" x14ac:dyDescent="0.2">
      <c r="B13" s="21"/>
      <c r="C13" s="21"/>
      <c r="D13" s="22"/>
      <c r="E13" s="22"/>
      <c r="F13" s="22"/>
      <c r="G13" s="22"/>
      <c r="H13" s="21"/>
      <c r="I13" s="21"/>
      <c r="J13" s="21"/>
      <c r="K13" s="21"/>
    </row>
    <row r="14" spans="2:11" ht="15" thickBot="1" x14ac:dyDescent="0.25">
      <c r="B14" s="24" t="s">
        <v>42</v>
      </c>
      <c r="C14" s="21"/>
      <c r="D14" s="22"/>
      <c r="E14" s="22"/>
      <c r="F14" s="22"/>
      <c r="G14" s="22"/>
      <c r="H14" s="21"/>
      <c r="I14" s="21"/>
      <c r="J14" s="21"/>
      <c r="K14" s="21"/>
    </row>
    <row r="15" spans="2:11" ht="15" thickBot="1" x14ac:dyDescent="0.25">
      <c r="B15" s="255" t="s">
        <v>74</v>
      </c>
      <c r="C15" s="256"/>
      <c r="D15" s="256"/>
      <c r="E15" s="256"/>
      <c r="F15" s="256"/>
      <c r="G15" s="257"/>
      <c r="H15" s="21"/>
      <c r="I15" s="21"/>
      <c r="J15" s="21"/>
      <c r="K15" s="21"/>
    </row>
    <row r="16" spans="2:11" ht="15" x14ac:dyDescent="0.25">
      <c r="B16" s="260" t="s">
        <v>2</v>
      </c>
      <c r="C16" s="261"/>
      <c r="D16" s="116" t="s">
        <v>4</v>
      </c>
      <c r="E16" s="116" t="s">
        <v>5</v>
      </c>
      <c r="F16" s="116" t="s">
        <v>6</v>
      </c>
      <c r="G16" s="27" t="s">
        <v>7</v>
      </c>
      <c r="H16" s="21"/>
      <c r="I16" s="21"/>
      <c r="J16" s="21"/>
      <c r="K16" s="21"/>
    </row>
    <row r="17" spans="2:11" x14ac:dyDescent="0.2">
      <c r="B17" s="243" t="s">
        <v>184</v>
      </c>
      <c r="C17" s="244"/>
      <c r="D17" s="113">
        <f>+ROUNDUP(J56/0.8,0)</f>
        <v>40</v>
      </c>
      <c r="E17" s="113" t="s">
        <v>185</v>
      </c>
      <c r="F17" s="113">
        <v>1150</v>
      </c>
      <c r="G17" s="30">
        <f>+D17*F17</f>
        <v>46000</v>
      </c>
      <c r="H17" s="21"/>
      <c r="I17" s="21"/>
      <c r="J17" s="21"/>
      <c r="K17" s="21"/>
    </row>
    <row r="18" spans="2:11" x14ac:dyDescent="0.2">
      <c r="B18" s="264" t="s">
        <v>231</v>
      </c>
      <c r="C18" s="265"/>
      <c r="D18" s="113">
        <f>+ROUNDUP(J57/0.8,0)</f>
        <v>40</v>
      </c>
      <c r="E18" s="113" t="s">
        <v>185</v>
      </c>
      <c r="F18" s="113">
        <f>1150*1.1</f>
        <v>1265</v>
      </c>
      <c r="G18" s="30">
        <f t="shared" ref="G18:G21" si="0">+D18*F18</f>
        <v>50600</v>
      </c>
      <c r="H18" s="21"/>
      <c r="I18" s="21"/>
      <c r="J18" s="21"/>
      <c r="K18" s="21"/>
    </row>
    <row r="19" spans="2:11" x14ac:dyDescent="0.2">
      <c r="B19" s="264" t="s">
        <v>182</v>
      </c>
      <c r="C19" s="265"/>
      <c r="D19" s="113">
        <v>2000</v>
      </c>
      <c r="E19" s="113" t="s">
        <v>141</v>
      </c>
      <c r="F19" s="113">
        <v>3</v>
      </c>
      <c r="G19" s="30">
        <f t="shared" si="0"/>
        <v>6000</v>
      </c>
      <c r="H19" s="21"/>
      <c r="I19" s="21"/>
      <c r="J19" s="21"/>
      <c r="K19" s="21"/>
    </row>
    <row r="20" spans="2:11" x14ac:dyDescent="0.2">
      <c r="B20" s="268" t="s">
        <v>183</v>
      </c>
      <c r="C20" s="269"/>
      <c r="D20" s="113">
        <f>+ROUNDUP(J58/3,0)</f>
        <v>15</v>
      </c>
      <c r="E20" s="113" t="s">
        <v>178</v>
      </c>
      <c r="F20" s="113">
        <v>485</v>
      </c>
      <c r="G20" s="30">
        <f t="shared" si="0"/>
        <v>7275</v>
      </c>
      <c r="H20" s="21"/>
      <c r="I20" s="21"/>
      <c r="J20" s="21"/>
      <c r="K20" s="21"/>
    </row>
    <row r="21" spans="2:11" x14ac:dyDescent="0.2">
      <c r="B21" s="264" t="s">
        <v>96</v>
      </c>
      <c r="C21" s="265"/>
      <c r="D21" s="113">
        <v>1</v>
      </c>
      <c r="E21" s="113" t="s">
        <v>97</v>
      </c>
      <c r="F21" s="113">
        <v>6000</v>
      </c>
      <c r="G21" s="30">
        <f t="shared" si="0"/>
        <v>6000</v>
      </c>
      <c r="H21" s="21"/>
      <c r="I21" s="21"/>
      <c r="J21" s="21"/>
      <c r="K21" s="21"/>
    </row>
    <row r="22" spans="2:11" x14ac:dyDescent="0.2">
      <c r="B22" s="243"/>
      <c r="C22" s="244"/>
      <c r="D22" s="113"/>
      <c r="E22" s="113"/>
      <c r="F22" s="113"/>
      <c r="G22" s="30"/>
      <c r="H22" s="21"/>
      <c r="I22" s="21"/>
      <c r="J22" s="21"/>
      <c r="K22" s="21"/>
    </row>
    <row r="23" spans="2:11" ht="15" thickBot="1" x14ac:dyDescent="0.25">
      <c r="B23" s="253" t="s">
        <v>51</v>
      </c>
      <c r="C23" s="254"/>
      <c r="D23" s="254"/>
      <c r="E23" s="254"/>
      <c r="F23" s="254"/>
      <c r="G23" s="68">
        <f>+SUM(G17:G22)</f>
        <v>115875</v>
      </c>
      <c r="H23" s="21"/>
      <c r="I23" s="21"/>
      <c r="J23" s="21"/>
      <c r="K23" s="21"/>
    </row>
    <row r="24" spans="2:11" ht="15" thickBot="1" x14ac:dyDescent="0.25">
      <c r="B24" s="272" t="s">
        <v>75</v>
      </c>
      <c r="C24" s="273"/>
      <c r="D24" s="273"/>
      <c r="E24" s="273"/>
      <c r="F24" s="273"/>
      <c r="G24" s="274"/>
      <c r="H24" s="21"/>
      <c r="I24" s="21"/>
      <c r="J24" s="21"/>
      <c r="K24" s="21"/>
    </row>
    <row r="25" spans="2:11" ht="15" x14ac:dyDescent="0.2">
      <c r="B25" s="266" t="s">
        <v>2</v>
      </c>
      <c r="C25" s="267"/>
      <c r="D25" s="114" t="s">
        <v>3</v>
      </c>
      <c r="E25" s="114" t="s">
        <v>68</v>
      </c>
      <c r="F25" s="114" t="s">
        <v>69</v>
      </c>
      <c r="G25" s="51" t="s">
        <v>7</v>
      </c>
      <c r="H25" s="33"/>
      <c r="I25" s="33"/>
      <c r="J25" s="33"/>
      <c r="K25" s="33"/>
    </row>
    <row r="26" spans="2:11" x14ac:dyDescent="0.2">
      <c r="B26" s="264" t="s">
        <v>71</v>
      </c>
      <c r="C26" s="265"/>
      <c r="D26" s="113">
        <v>1</v>
      </c>
      <c r="E26" s="113">
        <v>2000</v>
      </c>
      <c r="F26" s="113">
        <v>2</v>
      </c>
      <c r="G26" s="30">
        <f>+D26*E26*F26</f>
        <v>4000</v>
      </c>
      <c r="H26" s="21">
        <f>+G47-H47</f>
        <v>2.2432380292229936E-3</v>
      </c>
      <c r="I26" s="21"/>
      <c r="J26" s="21"/>
      <c r="K26" s="21"/>
    </row>
    <row r="27" spans="2:11" x14ac:dyDescent="0.2">
      <c r="B27" s="243" t="s">
        <v>89</v>
      </c>
      <c r="C27" s="244"/>
      <c r="D27" s="113">
        <v>2</v>
      </c>
      <c r="E27" s="113">
        <v>200</v>
      </c>
      <c r="F27" s="113">
        <v>5</v>
      </c>
      <c r="G27" s="30">
        <f>+D27*E27*F27</f>
        <v>2000</v>
      </c>
      <c r="H27" s="21"/>
      <c r="I27" s="21"/>
      <c r="J27" s="21"/>
      <c r="K27" s="21"/>
    </row>
    <row r="28" spans="2:11" x14ac:dyDescent="0.2">
      <c r="B28" s="243"/>
      <c r="C28" s="244"/>
      <c r="D28" s="113"/>
      <c r="E28" s="113"/>
      <c r="F28" s="113"/>
      <c r="G28" s="30"/>
      <c r="H28" s="21"/>
      <c r="I28" s="21"/>
      <c r="J28" s="21"/>
      <c r="K28" s="21"/>
    </row>
    <row r="29" spans="2:11" ht="15" thickBot="1" x14ac:dyDescent="0.25">
      <c r="B29" s="253" t="s">
        <v>52</v>
      </c>
      <c r="C29" s="254"/>
      <c r="D29" s="254"/>
      <c r="E29" s="254"/>
      <c r="F29" s="254"/>
      <c r="G29" s="68">
        <f>+SUM(G26:G28)</f>
        <v>6000</v>
      </c>
      <c r="H29" s="21"/>
      <c r="I29" s="21"/>
      <c r="J29" s="21"/>
      <c r="K29" s="21"/>
    </row>
    <row r="30" spans="2:11" ht="15" thickBot="1" x14ac:dyDescent="0.25">
      <c r="B30" s="255" t="s">
        <v>76</v>
      </c>
      <c r="C30" s="256"/>
      <c r="D30" s="256"/>
      <c r="E30" s="256"/>
      <c r="F30" s="256"/>
      <c r="G30" s="257"/>
      <c r="H30" s="21"/>
      <c r="I30" s="21"/>
      <c r="J30" s="21"/>
      <c r="K30" s="21"/>
    </row>
    <row r="31" spans="2:11" ht="15" x14ac:dyDescent="0.2">
      <c r="B31" s="241" t="s">
        <v>2</v>
      </c>
      <c r="C31" s="242"/>
      <c r="D31" s="111" t="s">
        <v>3</v>
      </c>
      <c r="E31" s="111" t="s">
        <v>68</v>
      </c>
      <c r="F31" s="111" t="s">
        <v>69</v>
      </c>
      <c r="G31" s="32" t="s">
        <v>7</v>
      </c>
      <c r="H31" s="21"/>
      <c r="I31" s="21"/>
      <c r="J31" s="21"/>
      <c r="K31" s="21"/>
    </row>
    <row r="32" spans="2:11" x14ac:dyDescent="0.2">
      <c r="B32" s="243" t="s">
        <v>72</v>
      </c>
      <c r="C32" s="244"/>
      <c r="D32" s="113">
        <v>1</v>
      </c>
      <c r="E32" s="113">
        <v>750</v>
      </c>
      <c r="F32" s="113">
        <v>14.444599999999999</v>
      </c>
      <c r="G32" s="30">
        <f>+D32*E32*F32</f>
        <v>10833.449999999999</v>
      </c>
      <c r="H32" s="21"/>
      <c r="I32" s="21"/>
      <c r="J32" s="21"/>
      <c r="K32" s="21"/>
    </row>
    <row r="33" spans="2:11" x14ac:dyDescent="0.2">
      <c r="B33" s="264" t="s">
        <v>122</v>
      </c>
      <c r="C33" s="265"/>
      <c r="D33" s="113">
        <v>5</v>
      </c>
      <c r="E33" s="113">
        <v>600</v>
      </c>
      <c r="F33" s="113">
        <f>+F32</f>
        <v>14.444599999999999</v>
      </c>
      <c r="G33" s="30">
        <f>+D33*E33*F33</f>
        <v>43333.799999999996</v>
      </c>
      <c r="H33" s="21"/>
      <c r="I33" s="21"/>
      <c r="J33" s="21"/>
      <c r="K33" s="21"/>
    </row>
    <row r="34" spans="2:11" x14ac:dyDescent="0.2">
      <c r="B34" s="243" t="s">
        <v>73</v>
      </c>
      <c r="C34" s="244"/>
      <c r="D34" s="113">
        <v>5</v>
      </c>
      <c r="E34" s="113">
        <v>450</v>
      </c>
      <c r="F34" s="113">
        <f>+F32</f>
        <v>14.444599999999999</v>
      </c>
      <c r="G34" s="30">
        <f>+D34*E34*F34</f>
        <v>32500.35</v>
      </c>
      <c r="H34" s="21"/>
      <c r="I34" s="21"/>
      <c r="J34" s="21"/>
      <c r="K34" s="21"/>
    </row>
    <row r="35" spans="2:11" x14ac:dyDescent="0.2">
      <c r="B35" s="243"/>
      <c r="C35" s="244"/>
      <c r="D35" s="113"/>
      <c r="E35" s="113"/>
      <c r="F35" s="113"/>
      <c r="G35" s="30"/>
      <c r="H35" s="21"/>
      <c r="I35" s="21"/>
      <c r="J35" s="21"/>
      <c r="K35" s="21"/>
    </row>
    <row r="36" spans="2:11" x14ac:dyDescent="0.2">
      <c r="B36" s="243"/>
      <c r="C36" s="244"/>
      <c r="D36" s="113"/>
      <c r="E36" s="113"/>
      <c r="F36" s="113"/>
      <c r="G36" s="30"/>
      <c r="H36" s="21"/>
      <c r="I36" s="21"/>
      <c r="J36" s="21"/>
      <c r="K36" s="21"/>
    </row>
    <row r="37" spans="2:11" ht="15" thickBot="1" x14ac:dyDescent="0.25">
      <c r="B37" s="258" t="s">
        <v>53</v>
      </c>
      <c r="C37" s="259"/>
      <c r="D37" s="259"/>
      <c r="E37" s="259"/>
      <c r="F37" s="259"/>
      <c r="G37" s="67">
        <f>+SUM(G32:G36)</f>
        <v>86667.599999999991</v>
      </c>
      <c r="H37" s="21"/>
      <c r="I37" s="21"/>
      <c r="J37" s="21"/>
      <c r="K37" s="21"/>
    </row>
    <row r="38" spans="2:11" ht="15.75" thickBot="1" x14ac:dyDescent="0.3">
      <c r="B38" s="239" t="s">
        <v>77</v>
      </c>
      <c r="C38" s="240"/>
      <c r="D38" s="240"/>
      <c r="E38" s="240"/>
      <c r="F38" s="240"/>
      <c r="G38" s="52">
        <f>+SUM(G23,G29,G37)</f>
        <v>208542.59999999998</v>
      </c>
      <c r="H38" s="21"/>
      <c r="I38" s="21"/>
      <c r="J38" s="21"/>
      <c r="K38" s="21"/>
    </row>
    <row r="39" spans="2:11" x14ac:dyDescent="0.2">
      <c r="B39" s="247"/>
      <c r="C39" s="248"/>
      <c r="D39" s="248"/>
      <c r="E39" s="248"/>
      <c r="F39" s="248"/>
      <c r="G39" s="34"/>
      <c r="H39" s="21"/>
      <c r="I39" s="21"/>
      <c r="J39" s="21"/>
      <c r="K39" s="21"/>
    </row>
    <row r="40" spans="2:11" x14ac:dyDescent="0.2">
      <c r="B40" s="249" t="s">
        <v>149</v>
      </c>
      <c r="C40" s="250"/>
      <c r="D40" s="250"/>
      <c r="E40" s="137">
        <v>0.01</v>
      </c>
      <c r="F40" s="80" t="s">
        <v>80</v>
      </c>
      <c r="G40" s="34">
        <f>+G38*E40</f>
        <v>2085.4259999999999</v>
      </c>
      <c r="H40" s="21"/>
      <c r="I40" s="21"/>
      <c r="J40" s="21"/>
      <c r="K40" s="21"/>
    </row>
    <row r="41" spans="2:11" x14ac:dyDescent="0.2">
      <c r="B41" s="78" t="s">
        <v>79</v>
      </c>
      <c r="C41" s="76"/>
      <c r="D41" s="58"/>
      <c r="E41" s="139">
        <v>0.12</v>
      </c>
      <c r="F41" s="80" t="s">
        <v>80</v>
      </c>
      <c r="G41" s="81">
        <f>+G38*E41</f>
        <v>25025.111999999997</v>
      </c>
      <c r="H41" s="82"/>
      <c r="I41" s="82"/>
      <c r="J41" s="82"/>
      <c r="K41" s="82"/>
    </row>
    <row r="42" spans="2:11" x14ac:dyDescent="0.2">
      <c r="B42" s="245" t="s">
        <v>81</v>
      </c>
      <c r="C42" s="246"/>
      <c r="D42" s="56"/>
      <c r="E42" s="140">
        <v>0.08</v>
      </c>
      <c r="F42" s="71" t="s">
        <v>80</v>
      </c>
      <c r="G42" s="70">
        <f>+G38*E42</f>
        <v>16683.407999999999</v>
      </c>
      <c r="H42" s="21"/>
      <c r="I42" s="21"/>
      <c r="J42" s="21"/>
      <c r="K42" s="21"/>
    </row>
    <row r="43" spans="2:11" ht="15" thickBot="1" x14ac:dyDescent="0.25">
      <c r="B43" s="251" t="s">
        <v>78</v>
      </c>
      <c r="C43" s="252"/>
      <c r="D43" s="57"/>
      <c r="E43" s="141">
        <v>0.05</v>
      </c>
      <c r="F43" s="72" t="s">
        <v>82</v>
      </c>
      <c r="G43" s="70">
        <f>+E43*(G38+G41+G42)</f>
        <v>12512.555999999999</v>
      </c>
      <c r="H43" s="21"/>
      <c r="I43" s="21"/>
      <c r="J43" s="21"/>
      <c r="K43" s="21"/>
    </row>
    <row r="44" spans="2:11" ht="15.75" thickBot="1" x14ac:dyDescent="0.3">
      <c r="B44" s="239" t="s">
        <v>55</v>
      </c>
      <c r="C44" s="240"/>
      <c r="D44" s="240"/>
      <c r="E44" s="240"/>
      <c r="F44" s="240"/>
      <c r="G44" s="38">
        <f>+SUM(G40:G43)</f>
        <v>56306.501999999993</v>
      </c>
      <c r="H44" s="21"/>
      <c r="I44" s="21"/>
      <c r="J44" s="21"/>
      <c r="K44" s="21"/>
    </row>
    <row r="45" spans="2:11" ht="15.75" thickBot="1" x14ac:dyDescent="0.3">
      <c r="B45" s="53"/>
      <c r="C45" s="54"/>
      <c r="D45" s="54"/>
      <c r="E45" s="54"/>
      <c r="F45" s="55"/>
      <c r="G45" s="35"/>
      <c r="H45" s="21"/>
      <c r="I45" s="21"/>
      <c r="J45" s="21"/>
      <c r="K45" s="21"/>
    </row>
    <row r="46" spans="2:11" ht="15.75" thickBot="1" x14ac:dyDescent="0.3">
      <c r="B46" s="236" t="s">
        <v>57</v>
      </c>
      <c r="C46" s="237"/>
      <c r="D46" s="237"/>
      <c r="E46" s="237"/>
      <c r="F46" s="238"/>
      <c r="G46" s="38">
        <f>+SUM(G38,G44)</f>
        <v>264849.10199999996</v>
      </c>
      <c r="H46" s="21"/>
      <c r="I46" s="21"/>
      <c r="J46" s="21"/>
      <c r="K46" s="21"/>
    </row>
    <row r="47" spans="2:11" ht="15.75" thickBot="1" x14ac:dyDescent="0.3">
      <c r="B47" s="239" t="s">
        <v>56</v>
      </c>
      <c r="C47" s="240"/>
      <c r="D47" s="240"/>
      <c r="E47" s="240"/>
      <c r="F47" s="240"/>
      <c r="G47" s="38">
        <f>+G46/C11</f>
        <v>1329.4522432380293</v>
      </c>
      <c r="H47" s="21">
        <v>1329.45</v>
      </c>
      <c r="I47" s="21"/>
      <c r="J47" s="21"/>
      <c r="K47" s="21"/>
    </row>
    <row r="48" spans="2:11" x14ac:dyDescent="0.2">
      <c r="B48" s="21"/>
      <c r="C48" s="21"/>
      <c r="D48" s="22"/>
      <c r="E48" s="22"/>
      <c r="F48" s="22"/>
      <c r="G48" s="22"/>
      <c r="H48" s="21"/>
      <c r="I48" s="21"/>
      <c r="J48" s="21"/>
      <c r="K48" s="21"/>
    </row>
    <row r="49" spans="2:11" x14ac:dyDescent="0.2">
      <c r="B49" s="21"/>
      <c r="C49" s="21"/>
      <c r="D49" s="22"/>
      <c r="E49" s="22"/>
      <c r="F49" s="22"/>
      <c r="G49" s="22"/>
      <c r="H49" s="21"/>
      <c r="I49" s="21"/>
      <c r="J49" s="21"/>
      <c r="K49" s="21"/>
    </row>
    <row r="50" spans="2:11" ht="15" thickBot="1" x14ac:dyDescent="0.25">
      <c r="B50" s="24" t="s">
        <v>58</v>
      </c>
      <c r="C50" s="21"/>
      <c r="D50" s="22"/>
      <c r="E50" s="22"/>
      <c r="F50" s="22"/>
      <c r="G50" s="22"/>
      <c r="H50" s="21"/>
      <c r="I50" s="21"/>
      <c r="J50" s="21"/>
      <c r="K50" s="21"/>
    </row>
    <row r="51" spans="2:11" ht="15.75" thickBot="1" x14ac:dyDescent="0.3">
      <c r="B51" s="36" t="s">
        <v>59</v>
      </c>
      <c r="C51" s="37" t="s">
        <v>60</v>
      </c>
      <c r="D51" s="37" t="s">
        <v>61</v>
      </c>
      <c r="E51" s="37" t="s">
        <v>62</v>
      </c>
      <c r="F51" s="37" t="s">
        <v>63</v>
      </c>
      <c r="G51" s="37" t="s">
        <v>64</v>
      </c>
      <c r="H51" s="37" t="s">
        <v>65</v>
      </c>
      <c r="I51" s="37" t="s">
        <v>66</v>
      </c>
      <c r="J51" s="37" t="s">
        <v>67</v>
      </c>
      <c r="K51" s="38" t="s">
        <v>43</v>
      </c>
    </row>
    <row r="52" spans="2:11" x14ac:dyDescent="0.2">
      <c r="B52" s="40"/>
      <c r="C52" s="41"/>
      <c r="D52" s="110"/>
      <c r="E52" s="110"/>
      <c r="F52" s="110"/>
      <c r="G52" s="110"/>
      <c r="H52" s="41"/>
      <c r="I52" s="41"/>
      <c r="J52" s="41"/>
      <c r="K52" s="43"/>
    </row>
    <row r="53" spans="2:11" ht="15" x14ac:dyDescent="0.25">
      <c r="B53" s="115">
        <f>+C6</f>
        <v>0</v>
      </c>
      <c r="C53" s="75" t="str">
        <f>+C7</f>
        <v>Window Works (Jalousie Type)</v>
      </c>
      <c r="D53" s="110"/>
      <c r="E53" s="110"/>
      <c r="F53" s="110"/>
      <c r="G53" s="110"/>
      <c r="H53" s="41"/>
      <c r="I53" s="41"/>
      <c r="J53" s="118"/>
      <c r="K53" s="43"/>
    </row>
    <row r="54" spans="2:11" ht="15" x14ac:dyDescent="0.25">
      <c r="B54" s="115">
        <f>+C8</f>
        <v>0</v>
      </c>
      <c r="C54" s="75" t="str">
        <f>+C9</f>
        <v>Doors</v>
      </c>
      <c r="D54" s="110">
        <v>2</v>
      </c>
      <c r="E54" s="110">
        <v>1</v>
      </c>
      <c r="F54" s="187">
        <f>14.63+0.5</f>
        <v>15.13</v>
      </c>
      <c r="G54" s="110">
        <f>+(4.34+0.5+0.5+4.2+1.5+1.5)/2</f>
        <v>6.27</v>
      </c>
      <c r="H54" s="41">
        <v>1</v>
      </c>
      <c r="I54" s="44">
        <v>1.05</v>
      </c>
      <c r="J54" s="148">
        <f>+D54*E54*F54*G54*H54*I54</f>
        <v>199.21671000000001</v>
      </c>
      <c r="K54" s="74" t="s">
        <v>84</v>
      </c>
    </row>
    <row r="55" spans="2:11" ht="15" x14ac:dyDescent="0.25">
      <c r="B55" s="109"/>
      <c r="C55" s="98"/>
      <c r="D55" s="110"/>
      <c r="E55" s="110"/>
      <c r="F55" s="98"/>
      <c r="G55" s="113"/>
      <c r="H55" s="44"/>
      <c r="I55" s="44"/>
      <c r="J55" s="105"/>
      <c r="K55" s="119"/>
    </row>
    <row r="56" spans="2:11" x14ac:dyDescent="0.2">
      <c r="B56" s="83"/>
      <c r="C56" s="98" t="s">
        <v>184</v>
      </c>
      <c r="D56" s="110">
        <v>2</v>
      </c>
      <c r="E56" s="110">
        <v>1</v>
      </c>
      <c r="F56" s="110">
        <f>14.63+0.5</f>
        <v>15.13</v>
      </c>
      <c r="G56" s="113">
        <v>1</v>
      </c>
      <c r="H56" s="44">
        <v>1</v>
      </c>
      <c r="I56" s="44">
        <v>1.05</v>
      </c>
      <c r="J56" s="44">
        <f>+D56*E56*F56*G56*H56*I56</f>
        <v>31.773000000000003</v>
      </c>
      <c r="K56" s="45" t="s">
        <v>94</v>
      </c>
    </row>
    <row r="57" spans="2:11" x14ac:dyDescent="0.2">
      <c r="B57" s="83"/>
      <c r="C57" s="98" t="s">
        <v>231</v>
      </c>
      <c r="D57" s="110">
        <v>2</v>
      </c>
      <c r="E57" s="110">
        <v>1</v>
      </c>
      <c r="F57" s="110">
        <f>14.63+0.5</f>
        <v>15.13</v>
      </c>
      <c r="G57" s="113">
        <v>1</v>
      </c>
      <c r="H57" s="44">
        <v>1</v>
      </c>
      <c r="I57" s="44">
        <v>1.05</v>
      </c>
      <c r="J57" s="44">
        <f>+D57*E57*F57*G57*H57*I57</f>
        <v>31.773000000000003</v>
      </c>
      <c r="K57" s="45" t="s">
        <v>94</v>
      </c>
    </row>
    <row r="58" spans="2:11" x14ac:dyDescent="0.2">
      <c r="B58" s="83"/>
      <c r="C58" s="157" t="s">
        <v>183</v>
      </c>
      <c r="D58" s="113">
        <v>1</v>
      </c>
      <c r="E58" s="113">
        <v>1</v>
      </c>
      <c r="F58" s="113">
        <f>+((14.63+0.5)*(2))+(0.5+0.5+4.2+4.34)+(1.5*2)</f>
        <v>42.8</v>
      </c>
      <c r="G58" s="113">
        <v>1</v>
      </c>
      <c r="H58" s="44">
        <v>1</v>
      </c>
      <c r="I58" s="44">
        <v>1.05</v>
      </c>
      <c r="J58" s="44">
        <f>+D58*E58*F58*G58*H58*I58</f>
        <v>44.94</v>
      </c>
      <c r="K58" s="45" t="s">
        <v>94</v>
      </c>
    </row>
    <row r="59" spans="2:11" x14ac:dyDescent="0.2">
      <c r="B59" s="83"/>
      <c r="C59" s="103"/>
      <c r="D59" s="85"/>
      <c r="E59" s="85"/>
      <c r="F59" s="85"/>
      <c r="G59" s="85"/>
      <c r="H59" s="84"/>
      <c r="I59" s="84"/>
      <c r="J59" s="84"/>
      <c r="K59" s="86"/>
    </row>
    <row r="60" spans="2:11" ht="13.15" customHeight="1" thickBot="1" x14ac:dyDescent="0.25">
      <c r="B60" s="46"/>
      <c r="C60" s="47"/>
      <c r="D60" s="48"/>
      <c r="E60" s="48"/>
      <c r="F60" s="48"/>
      <c r="G60" s="48"/>
      <c r="H60" s="47"/>
      <c r="I60" s="47"/>
      <c r="J60" s="47"/>
      <c r="K60" s="49"/>
    </row>
  </sheetData>
  <mergeCells count="31">
    <mergeCell ref="B36:C36"/>
    <mergeCell ref="B29:F29"/>
    <mergeCell ref="B30:G30"/>
    <mergeCell ref="B31:C31"/>
    <mergeCell ref="B15:G15"/>
    <mergeCell ref="B16:C16"/>
    <mergeCell ref="B17:C17"/>
    <mergeCell ref="B19:C19"/>
    <mergeCell ref="B20:C20"/>
    <mergeCell ref="B21:C21"/>
    <mergeCell ref="B22:C22"/>
    <mergeCell ref="B23:F23"/>
    <mergeCell ref="B24:G24"/>
    <mergeCell ref="B25:C25"/>
    <mergeCell ref="B26:C26"/>
    <mergeCell ref="B47:F47"/>
    <mergeCell ref="B18:C18"/>
    <mergeCell ref="B44:F44"/>
    <mergeCell ref="B46:F46"/>
    <mergeCell ref="B38:F38"/>
    <mergeCell ref="B39:F39"/>
    <mergeCell ref="B40:D40"/>
    <mergeCell ref="B42:C42"/>
    <mergeCell ref="B43:C43"/>
    <mergeCell ref="B37:F37"/>
    <mergeCell ref="B27:C27"/>
    <mergeCell ref="B28:C28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74"/>
  <sheetViews>
    <sheetView topLeftCell="A52" workbookViewId="0">
      <selection activeCell="F71" sqref="F71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27.42578125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8.7109375" style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+BOQ!B88</f>
        <v>0</v>
      </c>
    </row>
    <row r="7" spans="2:11" ht="15" x14ac:dyDescent="0.25">
      <c r="B7" s="7" t="s">
        <v>48</v>
      </c>
      <c r="C7" s="19" t="str">
        <f>+BOQ!C88</f>
        <v xml:space="preserve">Painting Works </v>
      </c>
    </row>
    <row r="8" spans="2:11" x14ac:dyDescent="0.2">
      <c r="B8" s="7"/>
    </row>
    <row r="9" spans="2:11" x14ac:dyDescent="0.2">
      <c r="B9" s="21" t="s">
        <v>45</v>
      </c>
      <c r="C9" s="76">
        <v>1</v>
      </c>
      <c r="D9" s="21" t="s">
        <v>44</v>
      </c>
      <c r="E9" s="77" t="s">
        <v>97</v>
      </c>
      <c r="F9" s="22"/>
      <c r="G9" s="22"/>
      <c r="H9" s="21"/>
      <c r="I9" s="21" t="s">
        <v>123</v>
      </c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16" t="s">
        <v>4</v>
      </c>
      <c r="E14" s="116" t="s">
        <v>5</v>
      </c>
      <c r="F14" s="116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70"/>
      <c r="C15" s="271"/>
      <c r="D15" s="113"/>
      <c r="E15" s="117"/>
      <c r="F15" s="108"/>
      <c r="G15" s="104"/>
    </row>
    <row r="16" spans="2:11" x14ac:dyDescent="0.2">
      <c r="B16" s="275"/>
      <c r="C16" s="276"/>
      <c r="D16" s="113"/>
      <c r="E16" s="117"/>
      <c r="F16" s="108"/>
      <c r="G16" s="104"/>
    </row>
    <row r="17" spans="2:11" x14ac:dyDescent="0.2">
      <c r="B17" s="243" t="s">
        <v>240</v>
      </c>
      <c r="C17" s="244"/>
      <c r="D17" s="113">
        <v>1</v>
      </c>
      <c r="E17" s="117" t="s">
        <v>97</v>
      </c>
      <c r="F17" s="113">
        <v>300000</v>
      </c>
      <c r="G17" s="104">
        <f>+D17*F17</f>
        <v>300000</v>
      </c>
      <c r="H17" s="21"/>
      <c r="I17" s="21"/>
      <c r="J17" s="21"/>
      <c r="K17" s="21"/>
    </row>
    <row r="18" spans="2:11" x14ac:dyDescent="0.2">
      <c r="B18" s="268"/>
      <c r="C18" s="269"/>
      <c r="D18" s="113"/>
      <c r="E18" s="117"/>
      <c r="F18" s="113"/>
      <c r="G18" s="104"/>
      <c r="H18" s="21"/>
      <c r="I18" s="21"/>
      <c r="J18" s="21"/>
      <c r="K18" s="21"/>
    </row>
    <row r="19" spans="2:11" x14ac:dyDescent="0.2">
      <c r="B19" s="243"/>
      <c r="C19" s="244"/>
      <c r="D19" s="113"/>
      <c r="E19" s="113"/>
      <c r="F19" s="113"/>
      <c r="G19" s="104"/>
      <c r="H19" s="21"/>
      <c r="I19" s="21"/>
      <c r="J19" s="21"/>
      <c r="K19" s="21"/>
    </row>
    <row r="20" spans="2:11" x14ac:dyDescent="0.2">
      <c r="B20" s="264"/>
      <c r="C20" s="265"/>
      <c r="D20" s="85"/>
      <c r="E20" s="113"/>
      <c r="F20" s="85"/>
      <c r="G20" s="104"/>
      <c r="H20" s="21"/>
      <c r="I20" s="21"/>
      <c r="J20" s="21"/>
      <c r="K20" s="21"/>
    </row>
    <row r="21" spans="2:11" x14ac:dyDescent="0.2">
      <c r="B21" s="264"/>
      <c r="C21" s="265"/>
      <c r="D21" s="85"/>
      <c r="E21" s="85"/>
      <c r="F21" s="85"/>
      <c r="G21" s="151"/>
      <c r="H21" s="21"/>
      <c r="I21" s="21"/>
      <c r="J21" s="21"/>
      <c r="K21" s="21"/>
    </row>
    <row r="22" spans="2:11" ht="15" thickBot="1" x14ac:dyDescent="0.25">
      <c r="B22" s="253" t="s">
        <v>51</v>
      </c>
      <c r="C22" s="254"/>
      <c r="D22" s="254"/>
      <c r="E22" s="254"/>
      <c r="F22" s="254"/>
      <c r="G22" s="68">
        <f>+SUM(G15:G20)</f>
        <v>300000</v>
      </c>
      <c r="H22" s="21"/>
      <c r="I22" s="21"/>
      <c r="J22" s="21"/>
      <c r="K22" s="21"/>
    </row>
    <row r="23" spans="2:11" ht="15" thickBot="1" x14ac:dyDescent="0.25">
      <c r="B23" s="272" t="s">
        <v>75</v>
      </c>
      <c r="C23" s="273"/>
      <c r="D23" s="273"/>
      <c r="E23" s="273"/>
      <c r="F23" s="273"/>
      <c r="G23" s="274"/>
      <c r="H23" s="21"/>
      <c r="I23" s="21"/>
      <c r="J23" s="21"/>
      <c r="K23" s="21"/>
    </row>
    <row r="24" spans="2:11" ht="15" x14ac:dyDescent="0.2">
      <c r="B24" s="266" t="s">
        <v>2</v>
      </c>
      <c r="C24" s="267"/>
      <c r="D24" s="114" t="s">
        <v>3</v>
      </c>
      <c r="E24" s="114" t="s">
        <v>68</v>
      </c>
      <c r="F24" s="114" t="s">
        <v>69</v>
      </c>
      <c r="G24" s="51" t="s">
        <v>7</v>
      </c>
      <c r="H24" s="33"/>
      <c r="I24" s="33"/>
      <c r="J24" s="33"/>
      <c r="K24" s="33"/>
    </row>
    <row r="25" spans="2:11" x14ac:dyDescent="0.2">
      <c r="B25" s="264"/>
      <c r="C25" s="265"/>
      <c r="D25" s="113"/>
      <c r="E25" s="113"/>
      <c r="F25" s="113"/>
      <c r="G25" s="30"/>
      <c r="H25" s="21"/>
      <c r="I25" s="21"/>
      <c r="J25" s="21"/>
      <c r="K25" s="21"/>
    </row>
    <row r="26" spans="2:11" x14ac:dyDescent="0.2">
      <c r="B26" s="243"/>
      <c r="C26" s="244"/>
      <c r="D26" s="113"/>
      <c r="E26" s="113"/>
      <c r="F26" s="113"/>
      <c r="G26" s="30"/>
      <c r="H26" s="21"/>
      <c r="I26" s="21"/>
      <c r="J26" s="21"/>
      <c r="K26" s="21"/>
    </row>
    <row r="27" spans="2:11" x14ac:dyDescent="0.2">
      <c r="B27" s="243"/>
      <c r="C27" s="244"/>
      <c r="D27" s="113"/>
      <c r="E27" s="113"/>
      <c r="F27" s="113"/>
      <c r="G27" s="30"/>
      <c r="H27" s="21"/>
      <c r="I27" s="21"/>
      <c r="J27" s="21"/>
      <c r="K27" s="21"/>
    </row>
    <row r="28" spans="2:11" ht="15" thickBot="1" x14ac:dyDescent="0.25">
      <c r="B28" s="253" t="s">
        <v>52</v>
      </c>
      <c r="C28" s="254"/>
      <c r="D28" s="254"/>
      <c r="E28" s="254"/>
      <c r="F28" s="254"/>
      <c r="G28" s="68">
        <f>+SUM(G25:G27)</f>
        <v>0</v>
      </c>
      <c r="H28" s="21"/>
      <c r="I28" s="21"/>
      <c r="J28" s="21"/>
      <c r="K28" s="21"/>
    </row>
    <row r="29" spans="2:11" ht="15" thickBot="1" x14ac:dyDescent="0.25">
      <c r="B29" s="255" t="s">
        <v>76</v>
      </c>
      <c r="C29" s="256"/>
      <c r="D29" s="256"/>
      <c r="E29" s="256"/>
      <c r="F29" s="256"/>
      <c r="G29" s="257"/>
      <c r="H29" s="21"/>
      <c r="I29" s="21"/>
      <c r="J29" s="21"/>
      <c r="K29" s="21"/>
    </row>
    <row r="30" spans="2:11" ht="15" x14ac:dyDescent="0.2">
      <c r="B30" s="241" t="s">
        <v>2</v>
      </c>
      <c r="C30" s="242"/>
      <c r="D30" s="111" t="s">
        <v>3</v>
      </c>
      <c r="E30" s="111" t="s">
        <v>68</v>
      </c>
      <c r="F30" s="111" t="s">
        <v>69</v>
      </c>
      <c r="G30" s="32" t="s">
        <v>7</v>
      </c>
      <c r="H30" s="21"/>
      <c r="I30" s="21"/>
      <c r="J30" s="21"/>
      <c r="K30" s="21"/>
    </row>
    <row r="31" spans="2:11" x14ac:dyDescent="0.2">
      <c r="B31" s="243"/>
      <c r="C31" s="244"/>
      <c r="D31" s="113"/>
      <c r="E31" s="113"/>
      <c r="F31" s="113"/>
      <c r="G31" s="30"/>
      <c r="H31" s="21"/>
      <c r="I31" s="21"/>
      <c r="J31" s="21"/>
      <c r="K31" s="21"/>
    </row>
    <row r="32" spans="2:11" x14ac:dyDescent="0.2">
      <c r="B32" s="264"/>
      <c r="C32" s="265"/>
      <c r="D32" s="113"/>
      <c r="E32" s="113"/>
      <c r="F32" s="113"/>
      <c r="G32" s="30"/>
      <c r="H32" s="21"/>
      <c r="I32" s="21"/>
      <c r="J32" s="21"/>
      <c r="K32" s="21"/>
    </row>
    <row r="33" spans="2:11" x14ac:dyDescent="0.2">
      <c r="B33" s="243"/>
      <c r="C33" s="244"/>
      <c r="D33" s="113"/>
      <c r="E33" s="113"/>
      <c r="F33" s="113"/>
      <c r="G33" s="30"/>
      <c r="H33" s="21"/>
      <c r="I33" s="21"/>
      <c r="J33" s="21"/>
      <c r="K33" s="21"/>
    </row>
    <row r="34" spans="2:11" x14ac:dyDescent="0.2">
      <c r="B34" s="243"/>
      <c r="C34" s="244"/>
      <c r="D34" s="113"/>
      <c r="E34" s="113"/>
      <c r="F34" s="113"/>
      <c r="G34" s="30"/>
      <c r="H34" s="21"/>
      <c r="I34" s="21"/>
      <c r="J34" s="21"/>
      <c r="K34" s="21"/>
    </row>
    <row r="35" spans="2:11" x14ac:dyDescent="0.2">
      <c r="B35" s="243"/>
      <c r="C35" s="244"/>
      <c r="D35" s="113"/>
      <c r="E35" s="113"/>
      <c r="F35" s="113"/>
      <c r="G35" s="30"/>
      <c r="H35" s="21"/>
      <c r="I35" s="21"/>
      <c r="J35" s="21"/>
      <c r="K35" s="21"/>
    </row>
    <row r="36" spans="2:11" ht="15" thickBot="1" x14ac:dyDescent="0.25">
      <c r="B36" s="258" t="s">
        <v>53</v>
      </c>
      <c r="C36" s="259"/>
      <c r="D36" s="259"/>
      <c r="E36" s="259"/>
      <c r="F36" s="259"/>
      <c r="G36" s="67">
        <f>+SUM(G31:G35)</f>
        <v>0</v>
      </c>
      <c r="H36" s="21"/>
      <c r="I36" s="21"/>
      <c r="J36" s="21"/>
      <c r="K36" s="21"/>
    </row>
    <row r="37" spans="2:11" ht="15.75" thickBot="1" x14ac:dyDescent="0.3">
      <c r="B37" s="239" t="s">
        <v>77</v>
      </c>
      <c r="C37" s="240"/>
      <c r="D37" s="240"/>
      <c r="E37" s="240"/>
      <c r="F37" s="240"/>
      <c r="G37" s="52">
        <f>+SUM(G22,G28,G36)</f>
        <v>300000</v>
      </c>
      <c r="H37" s="21"/>
      <c r="I37" s="21"/>
      <c r="J37" s="21"/>
      <c r="K37" s="21"/>
    </row>
    <row r="38" spans="2:11" x14ac:dyDescent="0.2">
      <c r="B38" s="247"/>
      <c r="C38" s="248"/>
      <c r="D38" s="248"/>
      <c r="E38" s="248"/>
      <c r="F38" s="248"/>
      <c r="G38" s="34"/>
      <c r="H38" s="21"/>
      <c r="I38" s="21"/>
      <c r="J38" s="21"/>
      <c r="K38" s="21"/>
    </row>
    <row r="39" spans="2:11" x14ac:dyDescent="0.2">
      <c r="B39" s="249" t="s">
        <v>149</v>
      </c>
      <c r="C39" s="250"/>
      <c r="D39" s="250"/>
      <c r="E39" s="137">
        <v>0.01</v>
      </c>
      <c r="F39" s="80" t="s">
        <v>80</v>
      </c>
      <c r="G39" s="34">
        <f>+G37*E39</f>
        <v>3000</v>
      </c>
      <c r="H39" s="21"/>
      <c r="I39" s="21"/>
      <c r="J39" s="21"/>
      <c r="K39" s="21"/>
    </row>
    <row r="40" spans="2:11" x14ac:dyDescent="0.2">
      <c r="B40" s="78" t="s">
        <v>79</v>
      </c>
      <c r="C40" s="76"/>
      <c r="D40" s="58"/>
      <c r="E40" s="139">
        <v>0.12</v>
      </c>
      <c r="F40" s="80" t="s">
        <v>80</v>
      </c>
      <c r="G40" s="81">
        <f>+G37*E40</f>
        <v>36000</v>
      </c>
      <c r="H40" s="82"/>
      <c r="I40" s="82"/>
      <c r="J40" s="82"/>
      <c r="K40" s="82"/>
    </row>
    <row r="41" spans="2:11" x14ac:dyDescent="0.2">
      <c r="B41" s="245" t="s">
        <v>81</v>
      </c>
      <c r="C41" s="246"/>
      <c r="D41" s="56"/>
      <c r="E41" s="140">
        <v>0.08</v>
      </c>
      <c r="F41" s="71" t="s">
        <v>80</v>
      </c>
      <c r="G41" s="70">
        <f>+G37*E41</f>
        <v>24000</v>
      </c>
      <c r="H41" s="21"/>
      <c r="I41" s="21"/>
      <c r="J41" s="21"/>
      <c r="K41" s="21"/>
    </row>
    <row r="42" spans="2:11" ht="15" thickBot="1" x14ac:dyDescent="0.25">
      <c r="B42" s="251" t="s">
        <v>78</v>
      </c>
      <c r="C42" s="252"/>
      <c r="D42" s="57"/>
      <c r="E42" s="141">
        <v>0.05</v>
      </c>
      <c r="F42" s="72" t="s">
        <v>82</v>
      </c>
      <c r="G42" s="70">
        <f>+E42*(G37+G40+G41)</f>
        <v>18000</v>
      </c>
      <c r="H42" s="21"/>
      <c r="I42" s="21"/>
      <c r="J42" s="21"/>
      <c r="K42" s="21"/>
    </row>
    <row r="43" spans="2:11" ht="15.75" thickBot="1" x14ac:dyDescent="0.3">
      <c r="B43" s="239" t="s">
        <v>55</v>
      </c>
      <c r="C43" s="240"/>
      <c r="D43" s="240"/>
      <c r="E43" s="240"/>
      <c r="F43" s="240"/>
      <c r="G43" s="38">
        <f>+SUM(G39:G42)</f>
        <v>81000</v>
      </c>
      <c r="H43" s="21"/>
      <c r="I43" s="21"/>
      <c r="J43" s="21"/>
      <c r="K43" s="21"/>
    </row>
    <row r="44" spans="2:11" ht="15.75" thickBot="1" x14ac:dyDescent="0.3">
      <c r="B44" s="53"/>
      <c r="C44" s="54"/>
      <c r="D44" s="54"/>
      <c r="E44" s="54"/>
      <c r="F44" s="55"/>
      <c r="G44" s="35"/>
      <c r="H44" s="21"/>
      <c r="I44" s="21"/>
      <c r="J44" s="21"/>
      <c r="K44" s="21"/>
    </row>
    <row r="45" spans="2:11" ht="15.75" thickBot="1" x14ac:dyDescent="0.3">
      <c r="B45" s="236" t="s">
        <v>57</v>
      </c>
      <c r="C45" s="237"/>
      <c r="D45" s="237"/>
      <c r="E45" s="237"/>
      <c r="F45" s="238"/>
      <c r="G45" s="38">
        <f>+SUM(G37,G43)</f>
        <v>381000</v>
      </c>
      <c r="H45" s="21"/>
      <c r="I45" s="21"/>
      <c r="J45" s="21"/>
      <c r="K45" s="21"/>
    </row>
    <row r="46" spans="2:11" ht="15.75" thickBot="1" x14ac:dyDescent="0.3">
      <c r="B46" s="239" t="s">
        <v>56</v>
      </c>
      <c r="C46" s="240"/>
      <c r="D46" s="240"/>
      <c r="E46" s="240"/>
      <c r="F46" s="240"/>
      <c r="G46" s="38">
        <f>+G45/C9</f>
        <v>381000</v>
      </c>
      <c r="H46" s="21"/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  <row r="48" spans="2:11" x14ac:dyDescent="0.2">
      <c r="B48" s="21"/>
      <c r="C48" s="21"/>
      <c r="D48" s="22"/>
      <c r="E48" s="22"/>
      <c r="F48" s="22"/>
      <c r="G48" s="22"/>
      <c r="H48" s="21"/>
      <c r="I48" s="21"/>
      <c r="J48" s="21"/>
      <c r="K48" s="21"/>
    </row>
    <row r="49" spans="2:11" ht="15" thickBot="1" x14ac:dyDescent="0.25">
      <c r="B49" s="24" t="s">
        <v>58</v>
      </c>
      <c r="C49" s="21"/>
      <c r="D49" s="22"/>
      <c r="E49" s="22"/>
      <c r="F49" s="22"/>
      <c r="G49" s="22"/>
      <c r="H49" s="21"/>
      <c r="I49" s="21"/>
      <c r="J49" s="21"/>
      <c r="K49" s="21"/>
    </row>
    <row r="50" spans="2:11" ht="15" x14ac:dyDescent="0.25">
      <c r="B50" s="143" t="s">
        <v>59</v>
      </c>
      <c r="C50" s="144" t="s">
        <v>60</v>
      </c>
      <c r="D50" s="144" t="s">
        <v>61</v>
      </c>
      <c r="E50" s="144" t="s">
        <v>62</v>
      </c>
      <c r="F50" s="144" t="s">
        <v>63</v>
      </c>
      <c r="G50" s="144" t="s">
        <v>64</v>
      </c>
      <c r="H50" s="144" t="s">
        <v>65</v>
      </c>
      <c r="I50" s="144" t="s">
        <v>66</v>
      </c>
      <c r="J50" s="144" t="s">
        <v>67</v>
      </c>
      <c r="K50" s="145" t="s">
        <v>43</v>
      </c>
    </row>
    <row r="51" spans="2:11" x14ac:dyDescent="0.2">
      <c r="B51" s="146"/>
      <c r="C51" s="44"/>
      <c r="D51" s="113"/>
      <c r="E51" s="113"/>
      <c r="F51" s="113"/>
      <c r="G51" s="113"/>
      <c r="H51" s="44"/>
      <c r="I51" s="44"/>
      <c r="J51" s="44"/>
      <c r="K51" s="45"/>
    </row>
    <row r="52" spans="2:11" ht="15" x14ac:dyDescent="0.25">
      <c r="B52" s="147">
        <f>+C6</f>
        <v>0</v>
      </c>
      <c r="C52" s="142" t="str">
        <f>+C7</f>
        <v xml:space="preserve">Painting Works </v>
      </c>
      <c r="D52" s="113"/>
      <c r="E52" s="113"/>
      <c r="F52" s="113"/>
      <c r="G52" s="113"/>
      <c r="H52" s="44"/>
      <c r="I52" s="44"/>
      <c r="J52" s="148"/>
      <c r="K52" s="74"/>
    </row>
    <row r="53" spans="2:11" ht="15" x14ac:dyDescent="0.25">
      <c r="B53" s="149"/>
      <c r="C53" s="150"/>
      <c r="D53" s="85"/>
      <c r="E53" s="85"/>
      <c r="F53" s="85"/>
      <c r="G53" s="85"/>
      <c r="H53" s="84"/>
      <c r="I53" s="44"/>
      <c r="J53" s="148">
        <f>+SUM(J57:J73)</f>
        <v>420.02520000000004</v>
      </c>
      <c r="K53" s="74" t="s">
        <v>84</v>
      </c>
    </row>
    <row r="54" spans="2:11" x14ac:dyDescent="0.2">
      <c r="B54" s="83" t="s">
        <v>86</v>
      </c>
      <c r="C54" s="84" t="s">
        <v>90</v>
      </c>
      <c r="D54" s="85">
        <v>8</v>
      </c>
      <c r="E54" s="85">
        <v>8</v>
      </c>
      <c r="F54" s="85">
        <v>0.3</v>
      </c>
      <c r="G54" s="85">
        <v>1</v>
      </c>
      <c r="H54" s="84">
        <v>3</v>
      </c>
      <c r="I54" s="44">
        <v>1.05</v>
      </c>
      <c r="J54" s="44">
        <f t="shared" ref="J54:J67" si="0">+D54*E54*F54*G54*H54*I54</f>
        <v>60.48</v>
      </c>
      <c r="K54" s="45" t="s">
        <v>84</v>
      </c>
    </row>
    <row r="55" spans="2:11" x14ac:dyDescent="0.2">
      <c r="B55" s="83" t="s">
        <v>87</v>
      </c>
      <c r="C55" s="84" t="s">
        <v>102</v>
      </c>
      <c r="D55" s="85"/>
      <c r="E55" s="85"/>
      <c r="F55" s="85"/>
      <c r="G55" s="85"/>
      <c r="H55" s="84"/>
      <c r="I55" s="44"/>
      <c r="J55" s="44"/>
      <c r="K55" s="45"/>
    </row>
    <row r="56" spans="2:11" x14ac:dyDescent="0.2">
      <c r="B56" s="83" t="s">
        <v>147</v>
      </c>
      <c r="C56" s="84" t="s">
        <v>104</v>
      </c>
      <c r="D56" s="85"/>
      <c r="E56" s="85"/>
      <c r="F56" s="85"/>
      <c r="G56" s="85"/>
      <c r="H56" s="84"/>
      <c r="I56" s="44"/>
      <c r="J56" s="44"/>
      <c r="K56" s="86"/>
    </row>
    <row r="57" spans="2:11" x14ac:dyDescent="0.2">
      <c r="B57" s="83"/>
      <c r="C57" s="84" t="s">
        <v>109</v>
      </c>
      <c r="D57" s="85">
        <v>1</v>
      </c>
      <c r="E57" s="85">
        <v>8</v>
      </c>
      <c r="F57" s="85">
        <v>0.25</v>
      </c>
      <c r="G57" s="85">
        <v>1</v>
      </c>
      <c r="H57" s="84">
        <v>6.5</v>
      </c>
      <c r="I57" s="44">
        <v>1.05</v>
      </c>
      <c r="J57" s="44">
        <f>+D57*E57*F57*G57*H57*I57</f>
        <v>13.65</v>
      </c>
      <c r="K57" s="45" t="s">
        <v>84</v>
      </c>
    </row>
    <row r="58" spans="2:11" x14ac:dyDescent="0.2">
      <c r="B58" s="83"/>
      <c r="C58" s="84" t="s">
        <v>106</v>
      </c>
      <c r="D58" s="85">
        <v>2</v>
      </c>
      <c r="E58" s="85">
        <v>8</v>
      </c>
      <c r="F58" s="85">
        <v>0.3</v>
      </c>
      <c r="G58" s="85">
        <v>1</v>
      </c>
      <c r="H58" s="84">
        <v>4.0199999999999996</v>
      </c>
      <c r="I58" s="44">
        <v>1.05</v>
      </c>
      <c r="J58" s="44">
        <f t="shared" si="0"/>
        <v>20.260799999999996</v>
      </c>
      <c r="K58" s="45" t="s">
        <v>84</v>
      </c>
    </row>
    <row r="59" spans="2:11" x14ac:dyDescent="0.2">
      <c r="B59" s="83"/>
      <c r="C59" s="84" t="s">
        <v>107</v>
      </c>
      <c r="D59" s="85">
        <v>2</v>
      </c>
      <c r="E59" s="85">
        <v>8</v>
      </c>
      <c r="F59" s="85">
        <v>0.3</v>
      </c>
      <c r="G59" s="85">
        <v>1</v>
      </c>
      <c r="H59" s="84">
        <v>4.1100000000000003</v>
      </c>
      <c r="I59" s="44">
        <v>1.05</v>
      </c>
      <c r="J59" s="44">
        <f t="shared" si="0"/>
        <v>20.714400000000001</v>
      </c>
      <c r="K59" s="45" t="s">
        <v>84</v>
      </c>
    </row>
    <row r="60" spans="2:11" x14ac:dyDescent="0.2">
      <c r="B60" s="83"/>
      <c r="C60" s="84" t="s">
        <v>108</v>
      </c>
      <c r="D60" s="85">
        <v>2</v>
      </c>
      <c r="E60" s="85">
        <v>8</v>
      </c>
      <c r="F60" s="85">
        <v>0.3</v>
      </c>
      <c r="G60" s="85">
        <v>1</v>
      </c>
      <c r="H60" s="84">
        <v>6.5</v>
      </c>
      <c r="I60" s="44">
        <v>1.05</v>
      </c>
      <c r="J60" s="44">
        <f t="shared" si="0"/>
        <v>32.76</v>
      </c>
      <c r="K60" s="45" t="s">
        <v>84</v>
      </c>
    </row>
    <row r="61" spans="2:11" x14ac:dyDescent="0.2">
      <c r="B61" s="83" t="s">
        <v>148</v>
      </c>
      <c r="C61" s="84" t="s">
        <v>105</v>
      </c>
      <c r="D61" s="85"/>
      <c r="E61" s="85"/>
      <c r="F61" s="85"/>
      <c r="G61" s="85"/>
      <c r="H61" s="84"/>
      <c r="I61" s="44"/>
      <c r="J61" s="44"/>
      <c r="K61" s="86"/>
    </row>
    <row r="62" spans="2:11" x14ac:dyDescent="0.2">
      <c r="B62" s="83"/>
      <c r="C62" s="84" t="s">
        <v>112</v>
      </c>
      <c r="D62" s="85">
        <v>2</v>
      </c>
      <c r="E62" s="85">
        <v>8</v>
      </c>
      <c r="F62" s="85">
        <v>0.25</v>
      </c>
      <c r="G62" s="85">
        <v>1</v>
      </c>
      <c r="H62" s="84">
        <v>1.5</v>
      </c>
      <c r="I62" s="44">
        <v>1.05</v>
      </c>
      <c r="J62" s="44">
        <f t="shared" si="0"/>
        <v>6.3000000000000007</v>
      </c>
      <c r="K62" s="45" t="s">
        <v>84</v>
      </c>
    </row>
    <row r="63" spans="2:11" x14ac:dyDescent="0.2">
      <c r="B63" s="83"/>
      <c r="C63" s="84" t="s">
        <v>113</v>
      </c>
      <c r="D63" s="85">
        <v>2</v>
      </c>
      <c r="E63" s="85">
        <v>8</v>
      </c>
      <c r="F63" s="85">
        <v>0.25</v>
      </c>
      <c r="G63" s="85">
        <v>1</v>
      </c>
      <c r="H63" s="84">
        <v>1.5</v>
      </c>
      <c r="I63" s="44">
        <v>1.05</v>
      </c>
      <c r="J63" s="44">
        <f t="shared" si="0"/>
        <v>6.3000000000000007</v>
      </c>
      <c r="K63" s="45" t="s">
        <v>84</v>
      </c>
    </row>
    <row r="64" spans="2:11" ht="13.15" customHeight="1" x14ac:dyDescent="0.2">
      <c r="B64" s="83"/>
      <c r="C64" s="84" t="s">
        <v>114</v>
      </c>
      <c r="D64" s="85">
        <v>2</v>
      </c>
      <c r="E64" s="85">
        <v>8</v>
      </c>
      <c r="F64" s="85">
        <v>0.25</v>
      </c>
      <c r="G64" s="85">
        <v>1</v>
      </c>
      <c r="H64" s="84">
        <v>1.5</v>
      </c>
      <c r="I64" s="44">
        <v>1.05</v>
      </c>
      <c r="J64" s="44">
        <f t="shared" si="0"/>
        <v>6.3000000000000007</v>
      </c>
      <c r="K64" s="45" t="s">
        <v>84</v>
      </c>
    </row>
    <row r="65" spans="2:12" ht="13.15" customHeight="1" x14ac:dyDescent="0.2">
      <c r="B65" s="83"/>
      <c r="C65" s="84" t="s">
        <v>115</v>
      </c>
      <c r="D65" s="85">
        <v>2</v>
      </c>
      <c r="E65" s="85">
        <v>8</v>
      </c>
      <c r="F65" s="85">
        <v>0.25</v>
      </c>
      <c r="G65" s="85">
        <v>1</v>
      </c>
      <c r="H65" s="84">
        <v>1.5</v>
      </c>
      <c r="I65" s="44">
        <v>1.05</v>
      </c>
      <c r="J65" s="44">
        <f t="shared" si="0"/>
        <v>6.3000000000000007</v>
      </c>
      <c r="K65" s="45" t="s">
        <v>84</v>
      </c>
    </row>
    <row r="66" spans="2:12" ht="13.15" customHeight="1" x14ac:dyDescent="0.2">
      <c r="B66" s="83"/>
      <c r="C66" s="84" t="s">
        <v>116</v>
      </c>
      <c r="D66" s="85">
        <v>1</v>
      </c>
      <c r="E66" s="85">
        <v>8</v>
      </c>
      <c r="F66" s="85">
        <v>0.25</v>
      </c>
      <c r="G66" s="85">
        <v>1</v>
      </c>
      <c r="H66" s="84">
        <f>4.21+4.34</f>
        <v>8.5500000000000007</v>
      </c>
      <c r="I66" s="44">
        <v>1.05</v>
      </c>
      <c r="J66" s="44">
        <f t="shared" si="0"/>
        <v>17.955000000000002</v>
      </c>
      <c r="K66" s="45" t="s">
        <v>84</v>
      </c>
    </row>
    <row r="67" spans="2:12" x14ac:dyDescent="0.2">
      <c r="B67" s="83"/>
      <c r="C67" s="84" t="s">
        <v>117</v>
      </c>
      <c r="D67" s="85">
        <v>1</v>
      </c>
      <c r="E67" s="85">
        <v>8</v>
      </c>
      <c r="F67" s="85">
        <v>0.25</v>
      </c>
      <c r="G67" s="85">
        <v>1</v>
      </c>
      <c r="H67" s="84">
        <f>4.21+4.34</f>
        <v>8.5500000000000007</v>
      </c>
      <c r="I67" s="44">
        <v>1.05</v>
      </c>
      <c r="J67" s="44">
        <f t="shared" si="0"/>
        <v>17.955000000000002</v>
      </c>
      <c r="K67" s="45" t="s">
        <v>84</v>
      </c>
    </row>
    <row r="68" spans="2:12" x14ac:dyDescent="0.2">
      <c r="B68" s="83" t="s">
        <v>88</v>
      </c>
      <c r="C68" s="84"/>
      <c r="D68" s="85"/>
      <c r="E68" s="85"/>
      <c r="F68" s="85"/>
      <c r="G68" s="85"/>
      <c r="H68" s="84"/>
      <c r="I68" s="44"/>
      <c r="J68" s="44"/>
      <c r="K68" s="45"/>
    </row>
    <row r="69" spans="2:12" x14ac:dyDescent="0.2">
      <c r="B69" s="112"/>
      <c r="C69" s="44" t="s">
        <v>150</v>
      </c>
      <c r="D69" s="113">
        <v>1</v>
      </c>
      <c r="E69" s="113">
        <v>4</v>
      </c>
      <c r="F69" s="113">
        <v>6.5</v>
      </c>
      <c r="G69" s="113">
        <v>1</v>
      </c>
      <c r="H69" s="44">
        <v>3</v>
      </c>
      <c r="I69" s="44">
        <v>1.05</v>
      </c>
      <c r="J69" s="44">
        <f>+D69*E69*F69*G69*H69*I69</f>
        <v>81.900000000000006</v>
      </c>
      <c r="K69" s="45" t="s">
        <v>84</v>
      </c>
      <c r="L69" s="99"/>
    </row>
    <row r="70" spans="2:12" x14ac:dyDescent="0.2">
      <c r="B70" s="83"/>
      <c r="C70" s="44" t="s">
        <v>151</v>
      </c>
      <c r="D70" s="113">
        <v>1</v>
      </c>
      <c r="E70" s="191">
        <v>4</v>
      </c>
      <c r="F70" s="113">
        <v>6.5</v>
      </c>
      <c r="G70" s="113">
        <v>1</v>
      </c>
      <c r="H70" s="44">
        <v>3</v>
      </c>
      <c r="I70" s="44">
        <v>1.05</v>
      </c>
      <c r="J70" s="44">
        <f t="shared" ref="J70:J71" si="1">+D70*E70*F70*G70*H70*I70</f>
        <v>81.900000000000006</v>
      </c>
      <c r="K70" s="45" t="s">
        <v>84</v>
      </c>
    </row>
    <row r="71" spans="2:12" x14ac:dyDescent="0.2">
      <c r="B71" s="83"/>
      <c r="C71" s="44" t="s">
        <v>152</v>
      </c>
      <c r="D71" s="85">
        <v>1</v>
      </c>
      <c r="E71" s="191">
        <v>4</v>
      </c>
      <c r="F71" s="85">
        <f>4.21+4.34</f>
        <v>8.5500000000000007</v>
      </c>
      <c r="G71" s="113">
        <v>1</v>
      </c>
      <c r="H71" s="84">
        <v>3</v>
      </c>
      <c r="I71" s="44">
        <v>1.05</v>
      </c>
      <c r="J71" s="44">
        <f t="shared" si="1"/>
        <v>107.73000000000002</v>
      </c>
      <c r="K71" s="45" t="s">
        <v>84</v>
      </c>
    </row>
    <row r="72" spans="2:12" x14ac:dyDescent="0.2">
      <c r="B72" s="83"/>
      <c r="C72" s="84"/>
      <c r="D72" s="85"/>
      <c r="E72" s="85"/>
      <c r="F72" s="85"/>
      <c r="G72" s="85"/>
      <c r="H72" s="84"/>
      <c r="I72" s="44"/>
      <c r="J72" s="44"/>
      <c r="K72" s="45"/>
    </row>
    <row r="73" spans="2:12" ht="15" x14ac:dyDescent="0.25">
      <c r="B73" s="112"/>
      <c r="C73" s="44"/>
      <c r="D73" s="113"/>
      <c r="E73" s="113"/>
      <c r="F73" s="113"/>
      <c r="G73" s="113"/>
      <c r="H73" s="44"/>
      <c r="I73" s="44"/>
      <c r="J73" s="44"/>
      <c r="K73" s="119"/>
    </row>
    <row r="74" spans="2:12" ht="13.15" customHeight="1" thickBot="1" x14ac:dyDescent="0.25">
      <c r="B74" s="46"/>
      <c r="C74" s="47"/>
      <c r="D74" s="48"/>
      <c r="E74" s="48"/>
      <c r="F74" s="48"/>
      <c r="G74" s="48"/>
      <c r="H74" s="47"/>
      <c r="I74" s="47"/>
      <c r="J74" s="47"/>
      <c r="K74" s="49"/>
    </row>
  </sheetData>
  <mergeCells count="32">
    <mergeCell ref="B13:G13"/>
    <mergeCell ref="B19:C19"/>
    <mergeCell ref="B14:C14"/>
    <mergeCell ref="B15:C15"/>
    <mergeCell ref="B16:C16"/>
    <mergeCell ref="B17:C17"/>
    <mergeCell ref="B18:C18"/>
    <mergeCell ref="B20:C20"/>
    <mergeCell ref="B21:C21"/>
    <mergeCell ref="B24:C24"/>
    <mergeCell ref="B25:C25"/>
    <mergeCell ref="B30:C30"/>
    <mergeCell ref="B22:F22"/>
    <mergeCell ref="B23:G23"/>
    <mergeCell ref="B26:C26"/>
    <mergeCell ref="B27:C27"/>
    <mergeCell ref="B43:F43"/>
    <mergeCell ref="B45:F45"/>
    <mergeCell ref="B46:F46"/>
    <mergeCell ref="B28:F28"/>
    <mergeCell ref="B29:G29"/>
    <mergeCell ref="B33:C33"/>
    <mergeCell ref="B34:C34"/>
    <mergeCell ref="B35:C35"/>
    <mergeCell ref="B36:F36"/>
    <mergeCell ref="B37:F37"/>
    <mergeCell ref="B38:F38"/>
    <mergeCell ref="B39:D39"/>
    <mergeCell ref="B41:C41"/>
    <mergeCell ref="B42:C42"/>
    <mergeCell ref="B31:C31"/>
    <mergeCell ref="B32:C3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7"/>
  <sheetViews>
    <sheetView topLeftCell="A28" workbookViewId="0">
      <selection activeCell="B45" sqref="B45:F45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37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12" style="1" bestFit="1" customWidth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+BOQ!B101</f>
        <v>0</v>
      </c>
    </row>
    <row r="7" spans="2:11" ht="15" x14ac:dyDescent="0.25">
      <c r="B7" s="7" t="s">
        <v>48</v>
      </c>
      <c r="C7" s="19" t="str">
        <f>+BOQ!C101</f>
        <v>Plumbing Works</v>
      </c>
    </row>
    <row r="8" spans="2:11" x14ac:dyDescent="0.2">
      <c r="B8" s="7"/>
    </row>
    <row r="9" spans="2:11" x14ac:dyDescent="0.2">
      <c r="B9" s="21" t="s">
        <v>45</v>
      </c>
      <c r="C9" s="76">
        <v>1</v>
      </c>
      <c r="D9" s="21" t="s">
        <v>44</v>
      </c>
      <c r="E9" s="77" t="s">
        <v>97</v>
      </c>
      <c r="F9" s="22"/>
      <c r="G9" s="22"/>
      <c r="H9" s="21"/>
      <c r="I9" s="21" t="s">
        <v>123</v>
      </c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89" t="s">
        <v>4</v>
      </c>
      <c r="E14" s="189" t="s">
        <v>5</v>
      </c>
      <c r="F14" s="189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43"/>
      <c r="C15" s="244"/>
      <c r="D15" s="186"/>
      <c r="E15" s="186"/>
      <c r="F15" s="186"/>
      <c r="G15" s="30">
        <f>+D15*F15</f>
        <v>0</v>
      </c>
      <c r="H15" s="21"/>
      <c r="I15" s="21"/>
      <c r="J15" s="21"/>
      <c r="K15" s="21"/>
    </row>
    <row r="16" spans="2:11" ht="27.6" customHeight="1" x14ac:dyDescent="0.2">
      <c r="B16" s="268" t="s">
        <v>234</v>
      </c>
      <c r="C16" s="269"/>
      <c r="D16" s="193">
        <v>1</v>
      </c>
      <c r="E16" s="158">
        <v>1</v>
      </c>
      <c r="F16" s="158">
        <f>+(BOQ!K164*0.2)/2</f>
        <v>0</v>
      </c>
      <c r="G16" s="88">
        <f>+D16*E16*F16</f>
        <v>0</v>
      </c>
      <c r="H16" s="21"/>
      <c r="I16" s="21"/>
      <c r="J16" s="21"/>
      <c r="K16" s="21"/>
    </row>
    <row r="17" spans="2:11" x14ac:dyDescent="0.2">
      <c r="B17" s="264"/>
      <c r="C17" s="265"/>
      <c r="D17" s="186"/>
      <c r="E17" s="186"/>
      <c r="F17" s="186"/>
      <c r="G17" s="30">
        <f t="shared" ref="G17:G19" si="0">+D17*F17</f>
        <v>0</v>
      </c>
      <c r="H17" s="21"/>
      <c r="I17" s="21"/>
      <c r="J17" s="21"/>
      <c r="K17" s="21"/>
    </row>
    <row r="18" spans="2:11" x14ac:dyDescent="0.2">
      <c r="B18" s="268"/>
      <c r="C18" s="269"/>
      <c r="D18" s="186"/>
      <c r="E18" s="186"/>
      <c r="F18" s="186"/>
      <c r="G18" s="30">
        <f t="shared" si="0"/>
        <v>0</v>
      </c>
      <c r="H18" s="21"/>
      <c r="I18" s="21"/>
      <c r="J18" s="21"/>
      <c r="K18" s="21"/>
    </row>
    <row r="19" spans="2:11" x14ac:dyDescent="0.2">
      <c r="B19" s="264"/>
      <c r="C19" s="265"/>
      <c r="D19" s="186"/>
      <c r="E19" s="186"/>
      <c r="F19" s="186"/>
      <c r="G19" s="30">
        <f t="shared" si="0"/>
        <v>0</v>
      </c>
      <c r="H19" s="21"/>
      <c r="I19" s="21"/>
      <c r="J19" s="21"/>
      <c r="K19" s="21"/>
    </row>
    <row r="20" spans="2:11" x14ac:dyDescent="0.2">
      <c r="B20" s="243"/>
      <c r="C20" s="244"/>
      <c r="D20" s="186"/>
      <c r="E20" s="186"/>
      <c r="F20" s="186"/>
      <c r="G20" s="30"/>
      <c r="H20" s="21"/>
      <c r="I20" s="21"/>
      <c r="J20" s="21"/>
      <c r="K20" s="21"/>
    </row>
    <row r="21" spans="2:11" ht="15" thickBot="1" x14ac:dyDescent="0.25">
      <c r="B21" s="253" t="s">
        <v>51</v>
      </c>
      <c r="C21" s="254"/>
      <c r="D21" s="254"/>
      <c r="E21" s="254"/>
      <c r="F21" s="254"/>
      <c r="G21" s="68">
        <f>+SUM(G15:G20)</f>
        <v>0</v>
      </c>
      <c r="H21" s="21"/>
      <c r="I21" s="21"/>
      <c r="J21" s="21"/>
      <c r="K21" s="21"/>
    </row>
    <row r="22" spans="2:11" ht="15" thickBot="1" x14ac:dyDescent="0.25">
      <c r="B22" s="272" t="s">
        <v>75</v>
      </c>
      <c r="C22" s="273"/>
      <c r="D22" s="273"/>
      <c r="E22" s="273"/>
      <c r="F22" s="273"/>
      <c r="G22" s="274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90" t="s">
        <v>3</v>
      </c>
      <c r="E23" s="190" t="s">
        <v>68</v>
      </c>
      <c r="F23" s="190" t="s">
        <v>69</v>
      </c>
      <c r="G23" s="51" t="s">
        <v>7</v>
      </c>
      <c r="H23" s="33"/>
      <c r="I23" s="33"/>
      <c r="J23" s="33"/>
      <c r="K23" s="33"/>
    </row>
    <row r="24" spans="2:11" x14ac:dyDescent="0.2">
      <c r="B24" s="264"/>
      <c r="C24" s="265"/>
      <c r="D24" s="186"/>
      <c r="E24" s="186"/>
      <c r="F24" s="186"/>
      <c r="G24" s="30"/>
      <c r="H24" s="21"/>
      <c r="I24" s="21"/>
      <c r="J24" s="21"/>
      <c r="K24" s="21"/>
    </row>
    <row r="25" spans="2:11" x14ac:dyDescent="0.2">
      <c r="B25" s="243"/>
      <c r="C25" s="244"/>
      <c r="D25" s="186"/>
      <c r="E25" s="186"/>
      <c r="F25" s="186"/>
      <c r="G25" s="30"/>
      <c r="H25" s="21"/>
      <c r="I25" s="21"/>
      <c r="J25" s="21"/>
      <c r="K25" s="21"/>
    </row>
    <row r="26" spans="2:11" x14ac:dyDescent="0.2">
      <c r="B26" s="243"/>
      <c r="C26" s="244"/>
      <c r="D26" s="186"/>
      <c r="E26" s="186"/>
      <c r="F26" s="186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+SUM(G24:G26)</f>
        <v>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84" t="s">
        <v>3</v>
      </c>
      <c r="E29" s="184" t="s">
        <v>68</v>
      </c>
      <c r="F29" s="184" t="s">
        <v>69</v>
      </c>
      <c r="G29" s="32" t="s">
        <v>7</v>
      </c>
      <c r="H29" s="21"/>
      <c r="I29" s="21"/>
      <c r="J29" s="21"/>
      <c r="K29" s="21"/>
    </row>
    <row r="30" spans="2:11" x14ac:dyDescent="0.2">
      <c r="B30" s="243"/>
      <c r="C30" s="244"/>
      <c r="D30" s="186"/>
      <c r="E30" s="186"/>
      <c r="F30" s="186"/>
      <c r="G30" s="30"/>
      <c r="H30" s="21"/>
      <c r="I30" s="21"/>
      <c r="J30" s="21"/>
      <c r="K30" s="21"/>
    </row>
    <row r="31" spans="2:11" x14ac:dyDescent="0.2">
      <c r="B31" s="264"/>
      <c r="C31" s="265"/>
      <c r="D31" s="186"/>
      <c r="E31" s="186"/>
      <c r="F31" s="186"/>
      <c r="G31" s="30"/>
      <c r="H31" s="21"/>
      <c r="I31" s="21"/>
      <c r="J31" s="21"/>
      <c r="K31" s="21"/>
    </row>
    <row r="32" spans="2:11" x14ac:dyDescent="0.2">
      <c r="B32" s="243"/>
      <c r="C32" s="244"/>
      <c r="D32" s="186"/>
      <c r="E32" s="186"/>
      <c r="F32" s="186"/>
      <c r="G32" s="30"/>
      <c r="H32" s="21"/>
      <c r="I32" s="21"/>
      <c r="J32" s="21"/>
      <c r="K32" s="21"/>
    </row>
    <row r="33" spans="2:11" x14ac:dyDescent="0.2">
      <c r="B33" s="243"/>
      <c r="C33" s="244"/>
      <c r="D33" s="186"/>
      <c r="E33" s="186"/>
      <c r="F33" s="186"/>
      <c r="G33" s="30"/>
      <c r="H33" s="21"/>
      <c r="I33" s="21"/>
      <c r="J33" s="21"/>
      <c r="K33" s="21"/>
    </row>
    <row r="34" spans="2:11" x14ac:dyDescent="0.2">
      <c r="B34" s="243"/>
      <c r="C34" s="244"/>
      <c r="D34" s="186"/>
      <c r="E34" s="186"/>
      <c r="F34" s="186"/>
      <c r="G34" s="30"/>
      <c r="H34" s="21"/>
      <c r="I34" s="21"/>
      <c r="J34" s="21"/>
      <c r="K34" s="21"/>
    </row>
    <row r="35" spans="2:11" ht="15" thickBot="1" x14ac:dyDescent="0.25">
      <c r="B35" s="258" t="s">
        <v>53</v>
      </c>
      <c r="C35" s="259"/>
      <c r="D35" s="259"/>
      <c r="E35" s="259"/>
      <c r="F35" s="259"/>
      <c r="G35" s="67">
        <f>+SUM(G30:G34)</f>
        <v>0</v>
      </c>
      <c r="H35" s="21"/>
      <c r="I35" s="21"/>
      <c r="J35" s="21"/>
      <c r="K35" s="21"/>
    </row>
    <row r="36" spans="2:11" ht="15.75" thickBot="1" x14ac:dyDescent="0.3">
      <c r="B36" s="239" t="s">
        <v>77</v>
      </c>
      <c r="C36" s="240"/>
      <c r="D36" s="240"/>
      <c r="E36" s="240"/>
      <c r="F36" s="240"/>
      <c r="G36" s="52">
        <f>+SUM(G21,G27,G35)</f>
        <v>0</v>
      </c>
      <c r="H36" s="21"/>
      <c r="I36" s="21"/>
      <c r="J36" s="21"/>
      <c r="K36" s="21"/>
    </row>
    <row r="37" spans="2:11" x14ac:dyDescent="0.2">
      <c r="B37" s="247"/>
      <c r="C37" s="248"/>
      <c r="D37" s="248"/>
      <c r="E37" s="248"/>
      <c r="F37" s="248"/>
      <c r="G37" s="34"/>
      <c r="H37" s="21"/>
      <c r="I37" s="21"/>
      <c r="J37" s="21"/>
      <c r="K37" s="21"/>
    </row>
    <row r="38" spans="2:11" x14ac:dyDescent="0.2">
      <c r="B38" s="249" t="s">
        <v>149</v>
      </c>
      <c r="C38" s="250"/>
      <c r="D38" s="250"/>
      <c r="E38" s="137">
        <v>0.01</v>
      </c>
      <c r="F38" s="80" t="s">
        <v>80</v>
      </c>
      <c r="G38" s="34">
        <f>+G36*E38</f>
        <v>0</v>
      </c>
      <c r="H38" s="21"/>
      <c r="I38" s="21"/>
      <c r="J38" s="21"/>
      <c r="K38" s="21"/>
    </row>
    <row r="39" spans="2:11" x14ac:dyDescent="0.2">
      <c r="B39" s="78" t="s">
        <v>79</v>
      </c>
      <c r="C39" s="76"/>
      <c r="D39" s="58"/>
      <c r="E39" s="139">
        <v>0.12</v>
      </c>
      <c r="F39" s="80" t="s">
        <v>80</v>
      </c>
      <c r="G39" s="81">
        <f>+G36*E39</f>
        <v>0</v>
      </c>
      <c r="H39" s="82"/>
      <c r="I39" s="82"/>
      <c r="J39" s="82"/>
      <c r="K39" s="82"/>
    </row>
    <row r="40" spans="2:11" x14ac:dyDescent="0.2">
      <c r="B40" s="245" t="s">
        <v>81</v>
      </c>
      <c r="C40" s="246"/>
      <c r="D40" s="56"/>
      <c r="E40" s="140">
        <v>0.08</v>
      </c>
      <c r="F40" s="71" t="s">
        <v>80</v>
      </c>
      <c r="G40" s="70">
        <f>+G36*E40</f>
        <v>0</v>
      </c>
      <c r="H40" s="21"/>
      <c r="I40" s="21"/>
      <c r="J40" s="21"/>
      <c r="K40" s="21"/>
    </row>
    <row r="41" spans="2:11" ht="15" thickBot="1" x14ac:dyDescent="0.25">
      <c r="B41" s="251" t="s">
        <v>78</v>
      </c>
      <c r="C41" s="252"/>
      <c r="D41" s="57"/>
      <c r="E41" s="141">
        <v>0.05</v>
      </c>
      <c r="F41" s="72" t="s">
        <v>82</v>
      </c>
      <c r="G41" s="70">
        <f>+E41*(G36+G39+G40)</f>
        <v>0</v>
      </c>
      <c r="H41" s="21"/>
      <c r="I41" s="21"/>
      <c r="J41" s="21"/>
      <c r="K41" s="21"/>
    </row>
    <row r="42" spans="2:11" ht="15.75" thickBot="1" x14ac:dyDescent="0.3">
      <c r="B42" s="239" t="s">
        <v>55</v>
      </c>
      <c r="C42" s="240"/>
      <c r="D42" s="240"/>
      <c r="E42" s="240"/>
      <c r="F42" s="240"/>
      <c r="G42" s="38">
        <f>+SUM(G38:G41)</f>
        <v>0</v>
      </c>
      <c r="H42" s="21"/>
      <c r="I42" s="21"/>
      <c r="J42" s="21"/>
      <c r="K42" s="21"/>
    </row>
    <row r="43" spans="2:11" ht="15.75" thickBot="1" x14ac:dyDescent="0.3">
      <c r="B43" s="53"/>
      <c r="C43" s="54"/>
      <c r="D43" s="54"/>
      <c r="E43" s="54"/>
      <c r="F43" s="55"/>
      <c r="G43" s="35"/>
      <c r="H43" s="21"/>
      <c r="I43" s="21"/>
      <c r="J43" s="21"/>
      <c r="K43" s="21"/>
    </row>
    <row r="44" spans="2:11" ht="15.75" thickBot="1" x14ac:dyDescent="0.3">
      <c r="B44" s="236" t="s">
        <v>57</v>
      </c>
      <c r="C44" s="237"/>
      <c r="D44" s="237"/>
      <c r="E44" s="237"/>
      <c r="F44" s="238"/>
      <c r="G44" s="38">
        <f>+SUM(G36,G42)</f>
        <v>0</v>
      </c>
      <c r="H44" s="21"/>
      <c r="I44" s="21"/>
      <c r="J44" s="21"/>
      <c r="K44" s="21"/>
    </row>
    <row r="45" spans="2:11" ht="15.75" thickBot="1" x14ac:dyDescent="0.3">
      <c r="B45" s="239" t="s">
        <v>56</v>
      </c>
      <c r="C45" s="240"/>
      <c r="D45" s="240"/>
      <c r="E45" s="240"/>
      <c r="F45" s="240"/>
      <c r="G45" s="38">
        <f>+G44/C9</f>
        <v>0</v>
      </c>
      <c r="H45" s="21"/>
      <c r="I45" s="21"/>
      <c r="J45" s="21"/>
      <c r="K45" s="21"/>
    </row>
    <row r="46" spans="2:11" x14ac:dyDescent="0.2">
      <c r="B46" s="21"/>
      <c r="C46" s="21"/>
      <c r="D46" s="22"/>
      <c r="E46" s="22"/>
      <c r="F46" s="22"/>
      <c r="G46" s="22"/>
      <c r="H46" s="21"/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</sheetData>
  <mergeCells count="31">
    <mergeCell ref="B24:C24"/>
    <mergeCell ref="B13:G13"/>
    <mergeCell ref="B14:C14"/>
    <mergeCell ref="B15:C15"/>
    <mergeCell ref="B16:C16"/>
    <mergeCell ref="B17:C17"/>
    <mergeCell ref="B18:C18"/>
    <mergeCell ref="B19:C19"/>
    <mergeCell ref="B20:C20"/>
    <mergeCell ref="B21:F21"/>
    <mergeCell ref="B22:G22"/>
    <mergeCell ref="B23:C23"/>
    <mergeCell ref="B36:F36"/>
    <mergeCell ref="B25:C25"/>
    <mergeCell ref="B26:C26"/>
    <mergeCell ref="B27:F27"/>
    <mergeCell ref="B28:G28"/>
    <mergeCell ref="B29:C29"/>
    <mergeCell ref="B30:C30"/>
    <mergeCell ref="B31:C31"/>
    <mergeCell ref="B32:C32"/>
    <mergeCell ref="B33:C33"/>
    <mergeCell ref="B34:C34"/>
    <mergeCell ref="B35:F35"/>
    <mergeCell ref="B45:F45"/>
    <mergeCell ref="B37:F37"/>
    <mergeCell ref="B38:D38"/>
    <mergeCell ref="B40:C40"/>
    <mergeCell ref="B41:C41"/>
    <mergeCell ref="B42:F42"/>
    <mergeCell ref="B44:F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7"/>
  <sheetViews>
    <sheetView workbookViewId="0">
      <selection sqref="A1:XFD1048576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37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12" style="1" bestFit="1" customWidth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+BOQ!B118</f>
        <v>0</v>
      </c>
    </row>
    <row r="7" spans="2:11" ht="15" x14ac:dyDescent="0.25">
      <c r="B7" s="7" t="s">
        <v>48</v>
      </c>
      <c r="C7" s="19" t="str">
        <f>+BOQ!C118</f>
        <v>Electrical Works</v>
      </c>
    </row>
    <row r="8" spans="2:11" x14ac:dyDescent="0.2">
      <c r="B8" s="7"/>
    </row>
    <row r="9" spans="2:11" x14ac:dyDescent="0.2">
      <c r="B9" s="21" t="s">
        <v>45</v>
      </c>
      <c r="C9" s="76">
        <v>1</v>
      </c>
      <c r="D9" s="21" t="s">
        <v>44</v>
      </c>
      <c r="E9" s="77" t="s">
        <v>97</v>
      </c>
      <c r="F9" s="22"/>
      <c r="G9" s="22"/>
      <c r="H9" s="21"/>
      <c r="I9" s="21" t="s">
        <v>123</v>
      </c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89" t="s">
        <v>4</v>
      </c>
      <c r="E14" s="189" t="s">
        <v>5</v>
      </c>
      <c r="F14" s="189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43"/>
      <c r="C15" s="244"/>
      <c r="D15" s="186"/>
      <c r="E15" s="186"/>
      <c r="F15" s="186"/>
      <c r="G15" s="30">
        <f>+D15*F15</f>
        <v>0</v>
      </c>
      <c r="H15" s="21"/>
      <c r="I15" s="21"/>
      <c r="J15" s="21"/>
      <c r="K15" s="21"/>
    </row>
    <row r="16" spans="2:11" ht="27.6" customHeight="1" x14ac:dyDescent="0.2">
      <c r="B16" s="268" t="s">
        <v>235</v>
      </c>
      <c r="C16" s="269"/>
      <c r="D16" s="193">
        <v>1</v>
      </c>
      <c r="E16" s="158">
        <v>1</v>
      </c>
      <c r="F16" s="158">
        <f>+(BOQ!K164*0.15)/2</f>
        <v>0</v>
      </c>
      <c r="G16" s="88">
        <f>+D16*E16*F16</f>
        <v>0</v>
      </c>
      <c r="H16" s="21"/>
      <c r="I16" s="21"/>
      <c r="J16" s="21"/>
      <c r="K16" s="21"/>
    </row>
    <row r="17" spans="2:11" x14ac:dyDescent="0.2">
      <c r="B17" s="264"/>
      <c r="C17" s="265"/>
      <c r="D17" s="186"/>
      <c r="E17" s="186"/>
      <c r="F17" s="186"/>
      <c r="G17" s="30">
        <f t="shared" ref="G17:G19" si="0">+D17*F17</f>
        <v>0</v>
      </c>
      <c r="H17" s="21"/>
      <c r="I17" s="21"/>
      <c r="J17" s="21"/>
      <c r="K17" s="21"/>
    </row>
    <row r="18" spans="2:11" x14ac:dyDescent="0.2">
      <c r="B18" s="268"/>
      <c r="C18" s="269"/>
      <c r="D18" s="186"/>
      <c r="E18" s="186"/>
      <c r="F18" s="186"/>
      <c r="G18" s="30">
        <f t="shared" si="0"/>
        <v>0</v>
      </c>
      <c r="H18" s="21"/>
      <c r="I18" s="21"/>
      <c r="J18" s="21"/>
      <c r="K18" s="21"/>
    </row>
    <row r="19" spans="2:11" x14ac:dyDescent="0.2">
      <c r="B19" s="264"/>
      <c r="C19" s="265"/>
      <c r="D19" s="186"/>
      <c r="E19" s="186"/>
      <c r="F19" s="186"/>
      <c r="G19" s="30">
        <f t="shared" si="0"/>
        <v>0</v>
      </c>
      <c r="H19" s="21"/>
      <c r="I19" s="21"/>
      <c r="J19" s="21"/>
      <c r="K19" s="21"/>
    </row>
    <row r="20" spans="2:11" x14ac:dyDescent="0.2">
      <c r="B20" s="243"/>
      <c r="C20" s="244"/>
      <c r="D20" s="186"/>
      <c r="E20" s="186"/>
      <c r="F20" s="186"/>
      <c r="G20" s="30"/>
      <c r="H20" s="21"/>
      <c r="I20" s="21"/>
      <c r="J20" s="21"/>
      <c r="K20" s="21"/>
    </row>
    <row r="21" spans="2:11" ht="15" thickBot="1" x14ac:dyDescent="0.25">
      <c r="B21" s="253" t="s">
        <v>51</v>
      </c>
      <c r="C21" s="254"/>
      <c r="D21" s="254"/>
      <c r="E21" s="254"/>
      <c r="F21" s="254"/>
      <c r="G21" s="68">
        <f>+SUM(G15:G20)</f>
        <v>0</v>
      </c>
      <c r="H21" s="21"/>
      <c r="I21" s="21"/>
      <c r="J21" s="21"/>
      <c r="K21" s="21"/>
    </row>
    <row r="22" spans="2:11" ht="15" thickBot="1" x14ac:dyDescent="0.25">
      <c r="B22" s="272" t="s">
        <v>75</v>
      </c>
      <c r="C22" s="273"/>
      <c r="D22" s="273"/>
      <c r="E22" s="273"/>
      <c r="F22" s="273"/>
      <c r="G22" s="274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90" t="s">
        <v>3</v>
      </c>
      <c r="E23" s="190" t="s">
        <v>68</v>
      </c>
      <c r="F23" s="190" t="s">
        <v>69</v>
      </c>
      <c r="G23" s="51" t="s">
        <v>7</v>
      </c>
      <c r="H23" s="33"/>
      <c r="I23" s="33"/>
      <c r="J23" s="33"/>
      <c r="K23" s="33"/>
    </row>
    <row r="24" spans="2:11" x14ac:dyDescent="0.2">
      <c r="B24" s="264"/>
      <c r="C24" s="265"/>
      <c r="D24" s="186"/>
      <c r="E24" s="186"/>
      <c r="F24" s="186"/>
      <c r="G24" s="30"/>
      <c r="H24" s="21"/>
      <c r="I24" s="21"/>
      <c r="J24" s="21"/>
      <c r="K24" s="21"/>
    </row>
    <row r="25" spans="2:11" x14ac:dyDescent="0.2">
      <c r="B25" s="243"/>
      <c r="C25" s="244"/>
      <c r="D25" s="186"/>
      <c r="E25" s="186"/>
      <c r="F25" s="186"/>
      <c r="G25" s="30"/>
      <c r="H25" s="21"/>
      <c r="I25" s="21"/>
      <c r="J25" s="21"/>
      <c r="K25" s="21"/>
    </row>
    <row r="26" spans="2:11" x14ac:dyDescent="0.2">
      <c r="B26" s="243"/>
      <c r="C26" s="244"/>
      <c r="D26" s="186"/>
      <c r="E26" s="186"/>
      <c r="F26" s="186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+SUM(G24:G26)</f>
        <v>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84" t="s">
        <v>3</v>
      </c>
      <c r="E29" s="184" t="s">
        <v>68</v>
      </c>
      <c r="F29" s="184" t="s">
        <v>69</v>
      </c>
      <c r="G29" s="32" t="s">
        <v>7</v>
      </c>
      <c r="H29" s="21"/>
      <c r="I29" s="21"/>
      <c r="J29" s="21"/>
      <c r="K29" s="21"/>
    </row>
    <row r="30" spans="2:11" x14ac:dyDescent="0.2">
      <c r="B30" s="243"/>
      <c r="C30" s="244"/>
      <c r="D30" s="186"/>
      <c r="E30" s="186"/>
      <c r="F30" s="186"/>
      <c r="G30" s="30"/>
      <c r="H30" s="21"/>
      <c r="I30" s="21"/>
      <c r="J30" s="21"/>
      <c r="K30" s="21"/>
    </row>
    <row r="31" spans="2:11" x14ac:dyDescent="0.2">
      <c r="B31" s="264"/>
      <c r="C31" s="265"/>
      <c r="D31" s="186"/>
      <c r="E31" s="186"/>
      <c r="F31" s="186"/>
      <c r="G31" s="30"/>
      <c r="H31" s="21"/>
      <c r="I31" s="21"/>
      <c r="J31" s="21"/>
      <c r="K31" s="21"/>
    </row>
    <row r="32" spans="2:11" x14ac:dyDescent="0.2">
      <c r="B32" s="243"/>
      <c r="C32" s="244"/>
      <c r="D32" s="186"/>
      <c r="E32" s="186"/>
      <c r="F32" s="186"/>
      <c r="G32" s="30"/>
      <c r="H32" s="21"/>
      <c r="I32" s="21"/>
      <c r="J32" s="21"/>
      <c r="K32" s="21"/>
    </row>
    <row r="33" spans="2:11" x14ac:dyDescent="0.2">
      <c r="B33" s="243"/>
      <c r="C33" s="244"/>
      <c r="D33" s="186"/>
      <c r="E33" s="186"/>
      <c r="F33" s="186"/>
      <c r="G33" s="30"/>
      <c r="H33" s="21"/>
      <c r="I33" s="21"/>
      <c r="J33" s="21"/>
      <c r="K33" s="21"/>
    </row>
    <row r="34" spans="2:11" x14ac:dyDescent="0.2">
      <c r="B34" s="243"/>
      <c r="C34" s="244"/>
      <c r="D34" s="186"/>
      <c r="E34" s="186"/>
      <c r="F34" s="186"/>
      <c r="G34" s="30"/>
      <c r="H34" s="21"/>
      <c r="I34" s="21"/>
      <c r="J34" s="21"/>
      <c r="K34" s="21"/>
    </row>
    <row r="35" spans="2:11" ht="15" thickBot="1" x14ac:dyDescent="0.25">
      <c r="B35" s="258" t="s">
        <v>53</v>
      </c>
      <c r="C35" s="259"/>
      <c r="D35" s="259"/>
      <c r="E35" s="259"/>
      <c r="F35" s="259"/>
      <c r="G35" s="67">
        <f>+SUM(G30:G34)</f>
        <v>0</v>
      </c>
      <c r="H35" s="21"/>
      <c r="I35" s="21"/>
      <c r="J35" s="21"/>
      <c r="K35" s="21"/>
    </row>
    <row r="36" spans="2:11" ht="15.75" thickBot="1" x14ac:dyDescent="0.3">
      <c r="B36" s="239" t="s">
        <v>77</v>
      </c>
      <c r="C36" s="240"/>
      <c r="D36" s="240"/>
      <c r="E36" s="240"/>
      <c r="F36" s="240"/>
      <c r="G36" s="52">
        <f>+SUM(G21,G27,G35)</f>
        <v>0</v>
      </c>
      <c r="H36" s="21"/>
      <c r="I36" s="21"/>
      <c r="J36" s="21"/>
      <c r="K36" s="21"/>
    </row>
    <row r="37" spans="2:11" x14ac:dyDescent="0.2">
      <c r="B37" s="247"/>
      <c r="C37" s="248"/>
      <c r="D37" s="248"/>
      <c r="E37" s="248"/>
      <c r="F37" s="248"/>
      <c r="G37" s="34"/>
      <c r="H37" s="21"/>
      <c r="I37" s="21"/>
      <c r="J37" s="21"/>
      <c r="K37" s="21"/>
    </row>
    <row r="38" spans="2:11" x14ac:dyDescent="0.2">
      <c r="B38" s="249" t="s">
        <v>149</v>
      </c>
      <c r="C38" s="250"/>
      <c r="D38" s="250"/>
      <c r="E38" s="137">
        <v>0.01</v>
      </c>
      <c r="F38" s="80" t="s">
        <v>80</v>
      </c>
      <c r="G38" s="34">
        <f>+G36*E38</f>
        <v>0</v>
      </c>
      <c r="H38" s="21"/>
      <c r="I38" s="21"/>
      <c r="J38" s="21"/>
      <c r="K38" s="21"/>
    </row>
    <row r="39" spans="2:11" x14ac:dyDescent="0.2">
      <c r="B39" s="78" t="s">
        <v>79</v>
      </c>
      <c r="C39" s="76"/>
      <c r="D39" s="58"/>
      <c r="E39" s="139">
        <v>0.12</v>
      </c>
      <c r="F39" s="80" t="s">
        <v>80</v>
      </c>
      <c r="G39" s="81">
        <f>+G36*E39</f>
        <v>0</v>
      </c>
      <c r="H39" s="82"/>
      <c r="I39" s="82"/>
      <c r="J39" s="82"/>
      <c r="K39" s="82"/>
    </row>
    <row r="40" spans="2:11" x14ac:dyDescent="0.2">
      <c r="B40" s="245" t="s">
        <v>81</v>
      </c>
      <c r="C40" s="246"/>
      <c r="D40" s="56"/>
      <c r="E40" s="140">
        <v>0.08</v>
      </c>
      <c r="F40" s="71" t="s">
        <v>80</v>
      </c>
      <c r="G40" s="70">
        <f>+G36*E40</f>
        <v>0</v>
      </c>
      <c r="H40" s="21"/>
      <c r="I40" s="21"/>
      <c r="J40" s="21"/>
      <c r="K40" s="21"/>
    </row>
    <row r="41" spans="2:11" ht="15" thickBot="1" x14ac:dyDescent="0.25">
      <c r="B41" s="251" t="s">
        <v>78</v>
      </c>
      <c r="C41" s="252"/>
      <c r="D41" s="57"/>
      <c r="E41" s="141">
        <v>0.05</v>
      </c>
      <c r="F41" s="72" t="s">
        <v>82</v>
      </c>
      <c r="G41" s="70">
        <f>+E41*(G36+G39+G40)</f>
        <v>0</v>
      </c>
      <c r="H41" s="21"/>
      <c r="I41" s="21"/>
      <c r="J41" s="21"/>
      <c r="K41" s="21"/>
    </row>
    <row r="42" spans="2:11" ht="15.75" thickBot="1" x14ac:dyDescent="0.3">
      <c r="B42" s="239" t="s">
        <v>55</v>
      </c>
      <c r="C42" s="240"/>
      <c r="D42" s="240"/>
      <c r="E42" s="240"/>
      <c r="F42" s="240"/>
      <c r="G42" s="38">
        <f>+SUM(G38:G41)</f>
        <v>0</v>
      </c>
      <c r="H42" s="21"/>
      <c r="I42" s="21"/>
      <c r="J42" s="21"/>
      <c r="K42" s="21"/>
    </row>
    <row r="43" spans="2:11" ht="15.75" thickBot="1" x14ac:dyDescent="0.3">
      <c r="B43" s="53"/>
      <c r="C43" s="54"/>
      <c r="D43" s="54"/>
      <c r="E43" s="54"/>
      <c r="F43" s="55"/>
      <c r="G43" s="35"/>
      <c r="H43" s="21"/>
      <c r="I43" s="21"/>
      <c r="J43" s="21"/>
      <c r="K43" s="21"/>
    </row>
    <row r="44" spans="2:11" ht="15.75" thickBot="1" x14ac:dyDescent="0.3">
      <c r="B44" s="236" t="s">
        <v>57</v>
      </c>
      <c r="C44" s="237"/>
      <c r="D44" s="237"/>
      <c r="E44" s="237"/>
      <c r="F44" s="238"/>
      <c r="G44" s="38">
        <f>+SUM(G36,G42)</f>
        <v>0</v>
      </c>
      <c r="H44" s="21"/>
      <c r="I44" s="21"/>
      <c r="J44" s="21"/>
      <c r="K44" s="21"/>
    </row>
    <row r="45" spans="2:11" ht="15.75" thickBot="1" x14ac:dyDescent="0.3">
      <c r="B45" s="239" t="s">
        <v>56</v>
      </c>
      <c r="C45" s="240"/>
      <c r="D45" s="240"/>
      <c r="E45" s="240"/>
      <c r="F45" s="240"/>
      <c r="G45" s="38">
        <f>+G44/C9</f>
        <v>0</v>
      </c>
      <c r="H45" s="21"/>
      <c r="I45" s="21"/>
      <c r="J45" s="21"/>
      <c r="K45" s="21"/>
    </row>
    <row r="46" spans="2:11" x14ac:dyDescent="0.2">
      <c r="B46" s="21"/>
      <c r="C46" s="21"/>
      <c r="D46" s="22"/>
      <c r="E46" s="22"/>
      <c r="F46" s="22"/>
      <c r="G46" s="22"/>
      <c r="H46" s="21"/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</sheetData>
  <mergeCells count="31">
    <mergeCell ref="B24:C24"/>
    <mergeCell ref="B13:G13"/>
    <mergeCell ref="B14:C14"/>
    <mergeCell ref="B15:C15"/>
    <mergeCell ref="B16:C16"/>
    <mergeCell ref="B17:C17"/>
    <mergeCell ref="B18:C18"/>
    <mergeCell ref="B19:C19"/>
    <mergeCell ref="B20:C20"/>
    <mergeCell ref="B21:F21"/>
    <mergeCell ref="B22:G22"/>
    <mergeCell ref="B23:C23"/>
    <mergeCell ref="B36:F36"/>
    <mergeCell ref="B25:C25"/>
    <mergeCell ref="B26:C26"/>
    <mergeCell ref="B27:F27"/>
    <mergeCell ref="B28:G28"/>
    <mergeCell ref="B29:C29"/>
    <mergeCell ref="B30:C30"/>
    <mergeCell ref="B31:C31"/>
    <mergeCell ref="B32:C32"/>
    <mergeCell ref="B33:C33"/>
    <mergeCell ref="B34:C34"/>
    <mergeCell ref="B35:F35"/>
    <mergeCell ref="B45:F45"/>
    <mergeCell ref="B37:F37"/>
    <mergeCell ref="B38:D38"/>
    <mergeCell ref="B40:C40"/>
    <mergeCell ref="B41:C41"/>
    <mergeCell ref="B42:F42"/>
    <mergeCell ref="B44:F4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7"/>
  <sheetViews>
    <sheetView topLeftCell="A28" workbookViewId="0">
      <selection activeCell="D51" sqref="D51"/>
    </sheetView>
  </sheetViews>
  <sheetFormatPr defaultColWidth="8.7109375" defaultRowHeight="14.25" x14ac:dyDescent="0.2"/>
  <cols>
    <col min="1" max="1" width="8.7109375" style="1"/>
    <col min="2" max="2" width="18.5703125" style="1" customWidth="1"/>
    <col min="3" max="3" width="37" style="1" customWidth="1"/>
    <col min="4" max="4" width="14.5703125" style="2" customWidth="1"/>
    <col min="5" max="5" width="12.5703125" style="2" customWidth="1"/>
    <col min="6" max="6" width="17.28515625" style="2" customWidth="1"/>
    <col min="7" max="7" width="15" style="2" customWidth="1"/>
    <col min="8" max="8" width="9.7109375" style="1" bestFit="1" customWidth="1"/>
    <col min="9" max="9" width="12" style="1" bestFit="1" customWidth="1"/>
    <col min="10" max="10" width="9" style="1" bestFit="1" customWidth="1"/>
    <col min="11" max="16384" width="8.7109375" style="1"/>
  </cols>
  <sheetData>
    <row r="3" spans="2:11" x14ac:dyDescent="0.2">
      <c r="B3" s="7" t="s">
        <v>0</v>
      </c>
      <c r="C3" s="1" t="s">
        <v>8</v>
      </c>
    </row>
    <row r="4" spans="2:11" x14ac:dyDescent="0.2">
      <c r="B4" s="7" t="s">
        <v>1</v>
      </c>
      <c r="C4" s="1" t="s">
        <v>9</v>
      </c>
    </row>
    <row r="5" spans="2:11" x14ac:dyDescent="0.2">
      <c r="B5" s="7"/>
    </row>
    <row r="6" spans="2:11" ht="15" x14ac:dyDescent="0.25">
      <c r="B6" s="7" t="s">
        <v>46</v>
      </c>
      <c r="C6" s="19">
        <f>+BOQ!B142</f>
        <v>0</v>
      </c>
    </row>
    <row r="7" spans="2:11" ht="15" x14ac:dyDescent="0.25">
      <c r="B7" s="7" t="s">
        <v>48</v>
      </c>
      <c r="C7" s="19" t="str">
        <f>+BOQ!C142</f>
        <v>Roofing Works (half only)</v>
      </c>
    </row>
    <row r="8" spans="2:11" x14ac:dyDescent="0.2">
      <c r="B8" s="7"/>
    </row>
    <row r="9" spans="2:11" x14ac:dyDescent="0.2">
      <c r="B9" s="21" t="s">
        <v>45</v>
      </c>
      <c r="C9" s="76">
        <v>1</v>
      </c>
      <c r="D9" s="21" t="s">
        <v>44</v>
      </c>
      <c r="E9" s="77" t="s">
        <v>97</v>
      </c>
      <c r="F9" s="22"/>
      <c r="G9" s="22"/>
      <c r="H9" s="21"/>
      <c r="I9" s="21" t="s">
        <v>123</v>
      </c>
      <c r="J9" s="21"/>
      <c r="K9" s="21"/>
    </row>
    <row r="10" spans="2:11" x14ac:dyDescent="0.2">
      <c r="B10" s="21"/>
      <c r="C10" s="21"/>
      <c r="D10" s="22"/>
      <c r="E10" s="22"/>
      <c r="F10" s="22"/>
      <c r="G10" s="22"/>
      <c r="H10" s="21"/>
      <c r="I10" s="21"/>
      <c r="J10" s="21"/>
      <c r="K10" s="21"/>
    </row>
    <row r="11" spans="2:11" x14ac:dyDescent="0.2">
      <c r="B11" s="21"/>
      <c r="C11" s="21"/>
      <c r="D11" s="22"/>
      <c r="E11" s="22"/>
      <c r="F11" s="22"/>
      <c r="G11" s="22"/>
      <c r="H11" s="21"/>
      <c r="I11" s="21"/>
      <c r="J11" s="21"/>
      <c r="K11" s="21"/>
    </row>
    <row r="12" spans="2:11" ht="15" thickBot="1" x14ac:dyDescent="0.25">
      <c r="B12" s="24" t="s">
        <v>42</v>
      </c>
      <c r="C12" s="21"/>
      <c r="D12" s="22"/>
      <c r="E12" s="22"/>
      <c r="F12" s="22"/>
      <c r="G12" s="22"/>
      <c r="H12" s="21"/>
      <c r="I12" s="21"/>
      <c r="J12" s="21"/>
      <c r="K12" s="21"/>
    </row>
    <row r="13" spans="2:11" ht="15" thickBot="1" x14ac:dyDescent="0.25">
      <c r="B13" s="255" t="s">
        <v>74</v>
      </c>
      <c r="C13" s="256"/>
      <c r="D13" s="256"/>
      <c r="E13" s="256"/>
      <c r="F13" s="256"/>
      <c r="G13" s="257"/>
      <c r="H13" s="21"/>
      <c r="I13" s="21"/>
      <c r="J13" s="21"/>
      <c r="K13" s="21"/>
    </row>
    <row r="14" spans="2:11" ht="15" x14ac:dyDescent="0.25">
      <c r="B14" s="260" t="s">
        <v>2</v>
      </c>
      <c r="C14" s="261"/>
      <c r="D14" s="189" t="s">
        <v>4</v>
      </c>
      <c r="E14" s="189" t="s">
        <v>5</v>
      </c>
      <c r="F14" s="189" t="s">
        <v>6</v>
      </c>
      <c r="G14" s="27" t="s">
        <v>7</v>
      </c>
      <c r="H14" s="21"/>
      <c r="I14" s="21"/>
      <c r="J14" s="21"/>
      <c r="K14" s="21"/>
    </row>
    <row r="15" spans="2:11" x14ac:dyDescent="0.2">
      <c r="B15" s="243"/>
      <c r="C15" s="244"/>
      <c r="D15" s="186"/>
      <c r="E15" s="186"/>
      <c r="F15" s="186"/>
      <c r="G15" s="30">
        <f>+D15*F15</f>
        <v>0</v>
      </c>
      <c r="H15" s="21"/>
      <c r="I15" s="21"/>
      <c r="J15" s="21"/>
      <c r="K15" s="21"/>
    </row>
    <row r="16" spans="2:11" s="5" customFormat="1" ht="27.6" customHeight="1" x14ac:dyDescent="0.25">
      <c r="B16" s="277" t="s">
        <v>239</v>
      </c>
      <c r="C16" s="278"/>
      <c r="D16" s="193">
        <v>1</v>
      </c>
      <c r="E16" s="158">
        <v>1</v>
      </c>
      <c r="F16" s="158">
        <v>250000</v>
      </c>
      <c r="G16" s="88">
        <f>+D16*E16*F16</f>
        <v>250000</v>
      </c>
      <c r="H16" s="82"/>
      <c r="I16" s="82"/>
      <c r="J16" s="82"/>
      <c r="K16" s="82"/>
    </row>
    <row r="17" spans="2:11" x14ac:dyDescent="0.2">
      <c r="B17" s="264"/>
      <c r="C17" s="265"/>
      <c r="D17" s="186"/>
      <c r="E17" s="186"/>
      <c r="F17" s="186"/>
      <c r="G17" s="30">
        <f t="shared" ref="G17:G19" si="0">+D17*F17</f>
        <v>0</v>
      </c>
      <c r="H17" s="21"/>
      <c r="I17" s="21"/>
      <c r="J17" s="21"/>
      <c r="K17" s="21"/>
    </row>
    <row r="18" spans="2:11" x14ac:dyDescent="0.2">
      <c r="B18" s="268"/>
      <c r="C18" s="269"/>
      <c r="D18" s="186"/>
      <c r="E18" s="186"/>
      <c r="F18" s="186"/>
      <c r="G18" s="30">
        <f t="shared" si="0"/>
        <v>0</v>
      </c>
      <c r="H18" s="21"/>
      <c r="I18" s="21"/>
      <c r="J18" s="21"/>
      <c r="K18" s="21"/>
    </row>
    <row r="19" spans="2:11" x14ac:dyDescent="0.2">
      <c r="B19" s="264"/>
      <c r="C19" s="265"/>
      <c r="D19" s="186"/>
      <c r="E19" s="186"/>
      <c r="F19" s="186"/>
      <c r="G19" s="30">
        <f t="shared" si="0"/>
        <v>0</v>
      </c>
      <c r="H19" s="21"/>
      <c r="I19" s="21"/>
      <c r="J19" s="21"/>
      <c r="K19" s="21"/>
    </row>
    <row r="20" spans="2:11" x14ac:dyDescent="0.2">
      <c r="B20" s="243"/>
      <c r="C20" s="244"/>
      <c r="D20" s="186"/>
      <c r="E20" s="186"/>
      <c r="F20" s="186"/>
      <c r="G20" s="30"/>
      <c r="H20" s="21"/>
      <c r="I20" s="21"/>
      <c r="J20" s="21"/>
      <c r="K20" s="21"/>
    </row>
    <row r="21" spans="2:11" ht="15" thickBot="1" x14ac:dyDescent="0.25">
      <c r="B21" s="253" t="s">
        <v>51</v>
      </c>
      <c r="C21" s="254"/>
      <c r="D21" s="254"/>
      <c r="E21" s="254"/>
      <c r="F21" s="254"/>
      <c r="G21" s="68">
        <f>+SUM(G15:G20)</f>
        <v>250000</v>
      </c>
      <c r="H21" s="21"/>
      <c r="I21" s="21"/>
      <c r="J21" s="21"/>
      <c r="K21" s="21"/>
    </row>
    <row r="22" spans="2:11" ht="15" thickBot="1" x14ac:dyDescent="0.25">
      <c r="B22" s="272" t="s">
        <v>75</v>
      </c>
      <c r="C22" s="273"/>
      <c r="D22" s="273"/>
      <c r="E22" s="273"/>
      <c r="F22" s="273"/>
      <c r="G22" s="274"/>
      <c r="H22" s="21"/>
      <c r="I22" s="21"/>
      <c r="J22" s="21"/>
      <c r="K22" s="21"/>
    </row>
    <row r="23" spans="2:11" ht="15" x14ac:dyDescent="0.2">
      <c r="B23" s="266" t="s">
        <v>2</v>
      </c>
      <c r="C23" s="267"/>
      <c r="D23" s="190" t="s">
        <v>3</v>
      </c>
      <c r="E23" s="190" t="s">
        <v>68</v>
      </c>
      <c r="F23" s="190" t="s">
        <v>69</v>
      </c>
      <c r="G23" s="51" t="s">
        <v>7</v>
      </c>
      <c r="H23" s="33"/>
      <c r="I23" s="33"/>
      <c r="J23" s="33"/>
      <c r="K23" s="33"/>
    </row>
    <row r="24" spans="2:11" x14ac:dyDescent="0.2">
      <c r="B24" s="264"/>
      <c r="C24" s="265"/>
      <c r="D24" s="186"/>
      <c r="E24" s="186"/>
      <c r="F24" s="186"/>
      <c r="G24" s="30"/>
      <c r="H24" s="21"/>
      <c r="I24" s="21"/>
      <c r="J24" s="21"/>
      <c r="K24" s="21"/>
    </row>
    <row r="25" spans="2:11" x14ac:dyDescent="0.2">
      <c r="B25" s="243"/>
      <c r="C25" s="244"/>
      <c r="D25" s="186"/>
      <c r="E25" s="186"/>
      <c r="F25" s="186"/>
      <c r="G25" s="30"/>
      <c r="H25" s="21"/>
      <c r="I25" s="21"/>
      <c r="J25" s="21"/>
      <c r="K25" s="21"/>
    </row>
    <row r="26" spans="2:11" x14ac:dyDescent="0.2">
      <c r="B26" s="243"/>
      <c r="C26" s="244"/>
      <c r="D26" s="186"/>
      <c r="E26" s="186"/>
      <c r="F26" s="186"/>
      <c r="G26" s="30"/>
      <c r="H26" s="21"/>
      <c r="I26" s="21"/>
      <c r="J26" s="21"/>
      <c r="K26" s="21"/>
    </row>
    <row r="27" spans="2:11" ht="15" thickBot="1" x14ac:dyDescent="0.25">
      <c r="B27" s="253" t="s">
        <v>52</v>
      </c>
      <c r="C27" s="254"/>
      <c r="D27" s="254"/>
      <c r="E27" s="254"/>
      <c r="F27" s="254"/>
      <c r="G27" s="68">
        <f>+SUM(G24:G26)</f>
        <v>0</v>
      </c>
      <c r="H27" s="21"/>
      <c r="I27" s="21"/>
      <c r="J27" s="21"/>
      <c r="K27" s="21"/>
    </row>
    <row r="28" spans="2:11" ht="15" thickBot="1" x14ac:dyDescent="0.25">
      <c r="B28" s="255" t="s">
        <v>76</v>
      </c>
      <c r="C28" s="256"/>
      <c r="D28" s="256"/>
      <c r="E28" s="256"/>
      <c r="F28" s="256"/>
      <c r="G28" s="257"/>
      <c r="H28" s="21"/>
      <c r="I28" s="21"/>
      <c r="J28" s="21"/>
      <c r="K28" s="21"/>
    </row>
    <row r="29" spans="2:11" ht="15" x14ac:dyDescent="0.2">
      <c r="B29" s="241" t="s">
        <v>2</v>
      </c>
      <c r="C29" s="242"/>
      <c r="D29" s="184" t="s">
        <v>3</v>
      </c>
      <c r="E29" s="184" t="s">
        <v>68</v>
      </c>
      <c r="F29" s="184" t="s">
        <v>69</v>
      </c>
      <c r="G29" s="32" t="s">
        <v>7</v>
      </c>
      <c r="H29" s="21"/>
      <c r="I29" s="21"/>
      <c r="J29" s="21"/>
      <c r="K29" s="21"/>
    </row>
    <row r="30" spans="2:11" x14ac:dyDescent="0.2">
      <c r="B30" s="243"/>
      <c r="C30" s="244"/>
      <c r="D30" s="186"/>
      <c r="E30" s="186"/>
      <c r="F30" s="186"/>
      <c r="G30" s="30"/>
      <c r="H30" s="21"/>
      <c r="I30" s="21"/>
      <c r="J30" s="21"/>
      <c r="K30" s="21"/>
    </row>
    <row r="31" spans="2:11" x14ac:dyDescent="0.2">
      <c r="B31" s="264"/>
      <c r="C31" s="265"/>
      <c r="D31" s="186"/>
      <c r="E31" s="186"/>
      <c r="F31" s="186"/>
      <c r="G31" s="30"/>
      <c r="H31" s="21"/>
      <c r="I31" s="21"/>
      <c r="J31" s="21"/>
      <c r="K31" s="21"/>
    </row>
    <row r="32" spans="2:11" x14ac:dyDescent="0.2">
      <c r="B32" s="243"/>
      <c r="C32" s="244"/>
      <c r="D32" s="186"/>
      <c r="E32" s="186"/>
      <c r="F32" s="186"/>
      <c r="G32" s="30"/>
      <c r="H32" s="21"/>
      <c r="I32" s="21"/>
      <c r="J32" s="21"/>
      <c r="K32" s="21"/>
    </row>
    <row r="33" spans="2:11" x14ac:dyDescent="0.2">
      <c r="B33" s="243"/>
      <c r="C33" s="244"/>
      <c r="D33" s="186"/>
      <c r="E33" s="186"/>
      <c r="F33" s="186"/>
      <c r="G33" s="30"/>
      <c r="H33" s="21"/>
      <c r="I33" s="21"/>
      <c r="J33" s="21"/>
      <c r="K33" s="21"/>
    </row>
    <row r="34" spans="2:11" x14ac:dyDescent="0.2">
      <c r="B34" s="243"/>
      <c r="C34" s="244"/>
      <c r="D34" s="186"/>
      <c r="E34" s="186"/>
      <c r="F34" s="186"/>
      <c r="G34" s="30"/>
      <c r="H34" s="21"/>
      <c r="I34" s="21"/>
      <c r="J34" s="21"/>
      <c r="K34" s="21"/>
    </row>
    <row r="35" spans="2:11" ht="15" thickBot="1" x14ac:dyDescent="0.25">
      <c r="B35" s="258" t="s">
        <v>53</v>
      </c>
      <c r="C35" s="259"/>
      <c r="D35" s="259"/>
      <c r="E35" s="259"/>
      <c r="F35" s="259"/>
      <c r="G35" s="67">
        <f>+SUM(G30:G34)</f>
        <v>0</v>
      </c>
      <c r="H35" s="21"/>
      <c r="I35" s="21"/>
      <c r="J35" s="21"/>
      <c r="K35" s="21"/>
    </row>
    <row r="36" spans="2:11" ht="15.75" thickBot="1" x14ac:dyDescent="0.3">
      <c r="B36" s="239" t="s">
        <v>77</v>
      </c>
      <c r="C36" s="240"/>
      <c r="D36" s="240"/>
      <c r="E36" s="240"/>
      <c r="F36" s="240"/>
      <c r="G36" s="52">
        <f>+SUM(G21,G27,G35)</f>
        <v>250000</v>
      </c>
      <c r="H36" s="21"/>
      <c r="I36" s="21"/>
      <c r="J36" s="21"/>
      <c r="K36" s="21"/>
    </row>
    <row r="37" spans="2:11" x14ac:dyDescent="0.2">
      <c r="B37" s="247"/>
      <c r="C37" s="248"/>
      <c r="D37" s="248"/>
      <c r="E37" s="248"/>
      <c r="F37" s="248"/>
      <c r="G37" s="34"/>
      <c r="H37" s="21"/>
      <c r="I37" s="21"/>
      <c r="J37" s="21"/>
      <c r="K37" s="21"/>
    </row>
    <row r="38" spans="2:11" x14ac:dyDescent="0.2">
      <c r="B38" s="249" t="s">
        <v>149</v>
      </c>
      <c r="C38" s="250"/>
      <c r="D38" s="250"/>
      <c r="E38" s="137">
        <v>0.01</v>
      </c>
      <c r="F38" s="80" t="s">
        <v>80</v>
      </c>
      <c r="G38" s="34">
        <f>+G36*E38</f>
        <v>2500</v>
      </c>
      <c r="H38" s="21"/>
      <c r="I38" s="21"/>
      <c r="J38" s="21"/>
      <c r="K38" s="21"/>
    </row>
    <row r="39" spans="2:11" x14ac:dyDescent="0.2">
      <c r="B39" s="78" t="s">
        <v>79</v>
      </c>
      <c r="C39" s="76"/>
      <c r="D39" s="58"/>
      <c r="E39" s="139">
        <v>0.12</v>
      </c>
      <c r="F39" s="80" t="s">
        <v>80</v>
      </c>
      <c r="G39" s="81">
        <f>+G36*E39</f>
        <v>30000</v>
      </c>
      <c r="H39" s="82"/>
      <c r="I39" s="82"/>
      <c r="J39" s="82"/>
      <c r="K39" s="82"/>
    </row>
    <row r="40" spans="2:11" x14ac:dyDescent="0.2">
      <c r="B40" s="245" t="s">
        <v>81</v>
      </c>
      <c r="C40" s="246"/>
      <c r="D40" s="56"/>
      <c r="E40" s="140">
        <v>0.08</v>
      </c>
      <c r="F40" s="71" t="s">
        <v>80</v>
      </c>
      <c r="G40" s="70">
        <f>+G36*E40</f>
        <v>20000</v>
      </c>
      <c r="H40" s="21"/>
      <c r="I40" s="21"/>
      <c r="J40" s="21"/>
      <c r="K40" s="21"/>
    </row>
    <row r="41" spans="2:11" ht="15" thickBot="1" x14ac:dyDescent="0.25">
      <c r="B41" s="251" t="s">
        <v>78</v>
      </c>
      <c r="C41" s="252"/>
      <c r="D41" s="57"/>
      <c r="E41" s="141">
        <v>0.05</v>
      </c>
      <c r="F41" s="72" t="s">
        <v>82</v>
      </c>
      <c r="G41" s="70">
        <f>+E41*(G36+G39+G40)</f>
        <v>15000</v>
      </c>
      <c r="H41" s="21"/>
      <c r="I41" s="21"/>
      <c r="J41" s="21"/>
      <c r="K41" s="21"/>
    </row>
    <row r="42" spans="2:11" ht="15.75" thickBot="1" x14ac:dyDescent="0.3">
      <c r="B42" s="239" t="s">
        <v>55</v>
      </c>
      <c r="C42" s="240"/>
      <c r="D42" s="240"/>
      <c r="E42" s="240"/>
      <c r="F42" s="240"/>
      <c r="G42" s="38">
        <f>+SUM(G38:G41)</f>
        <v>67500</v>
      </c>
      <c r="H42" s="21"/>
      <c r="I42" s="21"/>
      <c r="J42" s="21"/>
      <c r="K42" s="21"/>
    </row>
    <row r="43" spans="2:11" ht="15.75" thickBot="1" x14ac:dyDescent="0.3">
      <c r="B43" s="53"/>
      <c r="C43" s="54"/>
      <c r="D43" s="54"/>
      <c r="E43" s="54"/>
      <c r="F43" s="55"/>
      <c r="G43" s="35"/>
      <c r="H43" s="21"/>
      <c r="I43" s="21"/>
      <c r="J43" s="21"/>
      <c r="K43" s="21"/>
    </row>
    <row r="44" spans="2:11" ht="15.75" thickBot="1" x14ac:dyDescent="0.3">
      <c r="B44" s="236" t="s">
        <v>57</v>
      </c>
      <c r="C44" s="237"/>
      <c r="D44" s="237"/>
      <c r="E44" s="237"/>
      <c r="F44" s="238"/>
      <c r="G44" s="38">
        <f>+SUM(G36,G42)</f>
        <v>317500</v>
      </c>
      <c r="H44" s="21"/>
      <c r="I44" s="21"/>
      <c r="J44" s="21"/>
      <c r="K44" s="21"/>
    </row>
    <row r="45" spans="2:11" ht="15.75" thickBot="1" x14ac:dyDescent="0.3">
      <c r="B45" s="239" t="s">
        <v>56</v>
      </c>
      <c r="C45" s="240"/>
      <c r="D45" s="240"/>
      <c r="E45" s="240"/>
      <c r="F45" s="240"/>
      <c r="G45" s="38">
        <f>+G44/C9</f>
        <v>317500</v>
      </c>
      <c r="H45" s="21"/>
      <c r="I45" s="21"/>
      <c r="J45" s="21"/>
      <c r="K45" s="21"/>
    </row>
    <row r="46" spans="2:11" x14ac:dyDescent="0.2">
      <c r="B46" s="21"/>
      <c r="C46" s="21"/>
      <c r="D46" s="22"/>
      <c r="E46" s="22"/>
      <c r="F46" s="22"/>
      <c r="G46" s="22"/>
      <c r="H46" s="21"/>
      <c r="I46" s="21"/>
      <c r="J46" s="21"/>
      <c r="K46" s="21"/>
    </row>
    <row r="47" spans="2:11" x14ac:dyDescent="0.2">
      <c r="B47" s="21"/>
      <c r="C47" s="21"/>
      <c r="D47" s="22"/>
      <c r="E47" s="22"/>
      <c r="F47" s="22"/>
      <c r="G47" s="22"/>
      <c r="H47" s="21"/>
      <c r="I47" s="21"/>
      <c r="J47" s="21"/>
      <c r="K47" s="21"/>
    </row>
  </sheetData>
  <mergeCells count="31">
    <mergeCell ref="B24:C24"/>
    <mergeCell ref="B13:G13"/>
    <mergeCell ref="B14:C14"/>
    <mergeCell ref="B15:C15"/>
    <mergeCell ref="B16:C16"/>
    <mergeCell ref="B17:C17"/>
    <mergeCell ref="B18:C18"/>
    <mergeCell ref="B19:C19"/>
    <mergeCell ref="B20:C20"/>
    <mergeCell ref="B21:F21"/>
    <mergeCell ref="B22:G22"/>
    <mergeCell ref="B23:C23"/>
    <mergeCell ref="B36:F36"/>
    <mergeCell ref="B25:C25"/>
    <mergeCell ref="B26:C26"/>
    <mergeCell ref="B27:F27"/>
    <mergeCell ref="B28:G28"/>
    <mergeCell ref="B29:C29"/>
    <mergeCell ref="B30:C30"/>
    <mergeCell ref="B31:C31"/>
    <mergeCell ref="B32:C32"/>
    <mergeCell ref="B33:C33"/>
    <mergeCell ref="B34:C34"/>
    <mergeCell ref="B35:F35"/>
    <mergeCell ref="B45:F45"/>
    <mergeCell ref="B37:F37"/>
    <mergeCell ref="B38:D38"/>
    <mergeCell ref="B40:C40"/>
    <mergeCell ref="B41:C41"/>
    <mergeCell ref="B42:F42"/>
    <mergeCell ref="B44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POW</vt:lpstr>
      <vt:lpstr>BOQ</vt:lpstr>
      <vt:lpstr>I.1</vt:lpstr>
      <vt:lpstr>I.2</vt:lpstr>
      <vt:lpstr>II.1</vt:lpstr>
      <vt:lpstr>II.2</vt:lpstr>
      <vt:lpstr>II.3</vt:lpstr>
      <vt:lpstr>II.4</vt:lpstr>
      <vt:lpstr>III.</vt:lpstr>
      <vt:lpstr>IV.1</vt:lpstr>
      <vt:lpstr>IV.2</vt:lpstr>
      <vt:lpstr>IV.3</vt:lpstr>
      <vt:lpstr>V.1</vt:lpstr>
      <vt:lpstr>V.2</vt:lpstr>
      <vt:lpstr>VI.</vt:lpstr>
      <vt:lpstr>VII.1</vt:lpstr>
      <vt:lpstr>VII.2</vt:lpstr>
      <vt:lpstr>VIII.</vt:lpstr>
      <vt:lpstr>IX.</vt:lpstr>
      <vt:lpstr>X.</vt:lpstr>
      <vt:lpstr>XI.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Rubylaine Vergara</dc:creator>
  <cp:lastModifiedBy>TOSHIBA</cp:lastModifiedBy>
  <dcterms:created xsi:type="dcterms:W3CDTF">2022-05-16T10:52:43Z</dcterms:created>
  <dcterms:modified xsi:type="dcterms:W3CDTF">2026-03-10T14:09:27Z</dcterms:modified>
</cp:coreProperties>
</file>